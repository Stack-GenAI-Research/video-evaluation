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a618126201446f" /></Relationships>
</file>

<file path=xl/workbook.xml><?xml version="1.0" encoding="utf-8"?>
<x:workbook xmlns:x="http://schemas.openxmlformats.org/spreadsheetml/2006/main">
  <x:sheets>
    <x:sheet xmlns:r="http://schemas.openxmlformats.org/officeDocument/2006/relationships" name="Clip_Evaluations" sheetId="1" r:id="R1326b481aed34259"/>
    <x:sheet xmlns:r="http://schemas.openxmlformats.org/officeDocument/2006/relationships" name="Summary_Dashboard" sheetId="2" r:id="Rf6e40378a80f45b1"/>
    <x:sheet xmlns:r="http://schemas.openxmlformats.org/officeDocument/2006/relationships" name="Rubric" sheetId="3" r:id="R9ae586a8950942ed"/>
    <x:sheet xmlns:r="http://schemas.openxmlformats.org/officeDocument/2006/relationships" name="Prompt_Architectures" sheetId="4" r:id="R3b0ce0f1915249e7"/>
    <x:sheet xmlns:r="http://schemas.openxmlformats.org/officeDocument/2006/relationships" name="Model_Settings" sheetId="5" r:id="R319df8b0d4894615"/>
    <x:sheet xmlns:r="http://schemas.openxmlformats.org/officeDocument/2006/relationships" name="Sources" sheetId="6" r:id="R99e1ded08cd74f81"/>
    <x:sheet xmlns:r="http://schemas.openxmlformats.org/officeDocument/2006/relationships" name="Read_Me" sheetId="7" r:id="R88f321f9f6384f7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
  </x:numFmts>
  <x:fonts count="4">
    <x:font>
      <x:sz val="11"/>
      <x:name val="Carlito"/>
    </x:font>
    <x:font>
      <x:b/>
      <x:sz val="11"/>
      <x:color rgb="FFFFFF"/>
      <x:name val="Carlito"/>
    </x:font>
    <x:font>
      <x:b/>
      <x:sz val="16"/>
      <x:color rgb="1F4E78"/>
      <x:name val="Carlito"/>
    </x:font>
    <x:font>
      <x:b/>
      <x:sz val="11"/>
      <x:color rgb="1F4E78"/>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2" fillId="0"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0" borderId="1" xfId="0" applyNumberFormat="1" applyFont="1" applyFill="1" applyBorder="1" applyAlignment="1">
      <x:alignment horizontal="center" wrapText="1"/>
    </x:xf>
    <x:xf numFmtId="0" fontId="0" fillId="0" borderId="1" xfId="0" applyNumberFormat="1" applyFont="1" applyFill="1" applyBorder="1" applyAlignment="1">
      <x:alignment wrapText="1"/>
    </x:xf>
  </x:cellXfs>
  <x:cellStyles count="1">
    <x:cellStyle name="Normal" xfId="0"/>
  </x:cellStyles>
  <x:dxfs count="1">
    <x:dxf>
      <x:fill>
        <x:patternFill patternType="solid">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87c57577074bfa" /><Relationship Type="http://schemas.openxmlformats.org/officeDocument/2006/relationships/theme" Target="/xl/theme/theme1.xml" Id="Rd102ce745ae74cf6" /><Relationship Type="http://schemas.openxmlformats.org/officeDocument/2006/relationships/sharedStrings" Target="/xl/sharedStrings.xml" Id="Rff4d437a0da84a09" /><Relationship Type="http://schemas.openxmlformats.org/officeDocument/2006/relationships/worksheet" Target="/xl/worksheets/sheet1.xml" Id="R1326b481aed34259" /><Relationship Type="http://schemas.openxmlformats.org/officeDocument/2006/relationships/worksheet" Target="/xl/worksheets/sheet2.xml" Id="Rf6e40378a80f45b1" /><Relationship Type="http://schemas.openxmlformats.org/officeDocument/2006/relationships/worksheet" Target="/xl/worksheets/sheet3.xml" Id="R9ae586a8950942ed" /><Relationship Type="http://schemas.openxmlformats.org/officeDocument/2006/relationships/worksheet" Target="/xl/worksheets/sheet4.xml" Id="R3b0ce0f1915249e7" /><Relationship Type="http://schemas.openxmlformats.org/officeDocument/2006/relationships/worksheet" Target="/xl/worksheets/sheet5.xml" Id="R319df8b0d4894615" /><Relationship Type="http://schemas.openxmlformats.org/officeDocument/2006/relationships/worksheet" Target="/xl/worksheets/sheet6.xml" Id="R99e1ded08cd74f81" /><Relationship Type="http://schemas.openxmlformats.org/officeDocument/2006/relationships/worksheet" Target="/xl/worksheets/sheet7.xml" Id="R88f321f9f6384f77" /></Relationships>
</file>

<file path=xl/drawings/_rels/drawing1.xml.rels>&#65279;<?xml version="1.0" encoding="utf-8"?><Relationships xmlns="http://schemas.openxmlformats.org/package/2006/relationships"><Relationship Type="http://schemas.openxmlformats.org/officeDocument/2006/relationships/chart" Target="/xl/drawings/charts/chart1.xml" Id="Red2314c1f1ff4f3f"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Avg Weighted Score</c:v>
          </c:tx>
          <c:cat>
            <c:strRef>
              <c:f>'Summary_Dashboard'!$A$12:$A$17</c:f>
              <c:strCache>
                <c:ptCount val="0"/>
              </c:strCache>
            </c:strRef>
          </c:cat>
          <c:val>
            <c:numRef>
              <c:f>'Summary_Dashboard'!$C$12:$C$17</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10</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2314c1f1ff4f3f"/>
        </a:graphicData>
      </a:graphic>
    </xdr:graphicFrame>
    <xdr:clientData/>
  </xdr:twoCellAnchor>
</xdr:wsDr>
</file>

<file path=xl/tables/table1.xml><?xml version="1.0" encoding="utf-8"?>
<x:table xmlns:x="http://schemas.openxmlformats.org/spreadsheetml/2006/main" id="1" name="ClipEvaluations" displayName="ClipEvaluations" ref="A1:AD601" headerRowCount="1">
  <x:tableColumns count="30">
    <x:tableColumn id="1" name="Run_ID"/>
    <x:tableColumn id="2" name="Step_ID"/>
    <x:tableColumn id="3" name="Domain"/>
    <x:tableColumn id="4" name="Subdomain"/>
    <x:tableColumn id="5" name="Step_Type"/>
    <x:tableColumn id="6" name="Complexity_1_5"/>
    <x:tableColumn id="7" name="Step_Description"/>
    <x:tableColumn id="8" name="Tool_Names"/>
    <x:tableColumn id="9" name="Supplies_Objects"/>
    <x:tableColumn id="10" name="Model"/>
    <x:tableColumn id="11" name="Prompt_Architecture"/>
    <x:tableColumn id="12" name="Architecture_Rationale"/>
    <x:tableColumn id="13" name="Prompt_Text"/>
    <x:tableColumn id="14" name="Clip_Seconds"/>
    <x:tableColumn id="15" name="Seed"/>
    <x:tableColumn id="16" name="Rater_ID"/>
    <x:tableColumn id="17" name="Technical_Accuracy"/>
    <x:tableColumn id="18" name="Action_Completeness"/>
    <x:tableColumn id="19" name="Object_Fidelity"/>
    <x:tableColumn id="20" name="Instructional_Clarity"/>
    <x:tableColumn id="21" name="Safety_Realism"/>
    <x:tableColumn id="22" name="Visual_Consistency"/>
    <x:tableColumn id="23" name="Weighted_Score"/>
    <x:tableColumn id="24" name="Pass_Fail"/>
    <x:tableColumn id="25" name="Primary_Failure_Mode"/>
    <x:tableColumn id="26" name="Human_Observation"/>
    <x:tableColumn id="27" name="Reprompt_Recommendation"/>
    <x:tableColumn id="28" name="Rater_Confidence"/>
    <x:tableColumn id="29" name="Generated_Clip_URL"/>
    <x:tableColumn id="30" name="Data_Provenance"/>
  </x:tableColumns>
  <x:tableStyleInfo name="TableStyleMedium2" showRowStripes="1"/>
</x:table>
</file>

<file path=xl/tables/table2.xml><?xml version="1.0" encoding="utf-8"?>
<x:table xmlns:x="http://schemas.openxmlformats.org/spreadsheetml/2006/main" id="2" name="ModelSummary" displayName="ModelSummary" ref="A11:F17" headerRowCount="1">
  <x:tableColumns count="6">
    <x:tableColumn id="1" name="Model"/>
    <x:tableColumn id="2" name="n"/>
    <x:tableColumn id="3" name="Avg Weighted"/>
    <x:tableColumn id="4" name="Pass Rate"/>
    <x:tableColumn id="5" name="Avg Technical"/>
    <x:tableColumn id="6" name="Avg Action"/>
  </x:tableColumns>
  <x:tableStyleInfo name="TableStyleMedium2" showRowStripes="1"/>
</x:table>
</file>

<file path=xl/tables/table3.xml><?xml version="1.0" encoding="utf-8"?>
<x:table xmlns:x="http://schemas.openxmlformats.org/spreadsheetml/2006/main" id="3" name="ArchitectureSummary" displayName="ArchitectureSummary" ref="A21:E27" headerRowCount="1">
  <x:tableColumns count="5">
    <x:tableColumn id="1" name="Prompt Architecture"/>
    <x:tableColumn id="2" name="n"/>
    <x:tableColumn id="3" name="Avg Weighted"/>
    <x:tableColumn id="4" name="Pass Rate"/>
    <x:tableColumn id="5" name="Design Note"/>
  </x:tableColumns>
  <x:tableStyleInfo name="TableStyleMedium2" showRowStripes="1"/>
</x:table>
</file>

<file path=xl/tables/table4.xml><?xml version="1.0" encoding="utf-8"?>
<x:table xmlns:x="http://schemas.openxmlformats.org/spreadsheetml/2006/main" id="4" name="FailureSummary" displayName="FailureSummary" ref="H3:J9" headerRowCount="1">
  <x:tableColumns count="3">
    <x:tableColumn id="1" name="Top Failure Modes"/>
    <x:tableColumn id="2" name="Count"/>
    <x:tableColumn id="3" name="Example Fix"/>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24ee68e7e94ae5" /></Relationships>
</file>

<file path=xl/worksheets/_rels/sheet2.xml.rels>&#65279;<?xml version="1.0" encoding="utf-8"?><Relationships xmlns="http://schemas.openxmlformats.org/package/2006/relationships"><Relationship Type="http://schemas.openxmlformats.org/officeDocument/2006/relationships/drawing" Target="/xl/drawings/drawing1.xml" Id="R403967777b3b4d5c" /><Relationship Type="http://schemas.openxmlformats.org/officeDocument/2006/relationships/table" Target="/xl/tables/table2.xml" Id="R4cd8bd3e75d64f44" /><Relationship Type="http://schemas.openxmlformats.org/officeDocument/2006/relationships/table" Target="/xl/tables/table3.xml" Id="R79b77b90ab7e4543" /><Relationship Type="http://schemas.openxmlformats.org/officeDocument/2006/relationships/table" Target="/xl/tables/table4.xml" Id="R5a4f78f887734c12" /></Relationships>
</file>

<file path=xl/worksheets/sheet1.xml><?xml version="1.0" encoding="utf-8"?>
<x:worksheet xmlns:x="http://schemas.openxmlformats.org/spreadsheetml/2006/main">
  <x:sheetFormatPr defaultRowHeight="15"/>
  <x:cols>
    <x:col min="1" max="1" width="14" hidden="0" customWidth="1"/>
    <x:col min="2" max="2" width="10" hidden="0" customWidth="1"/>
    <x:col min="3" max="3" width="14" hidden="0" customWidth="1"/>
    <x:col min="4" max="4" width="14" hidden="0" customWidth="1"/>
    <x:col min="5" max="5" width="14" hidden="0" customWidth="1"/>
    <x:col min="6" max="6" width="14" hidden="0" customWidth="1"/>
    <x:col min="7" max="7" width="35" hidden="0" customWidth="1"/>
    <x:col min="8" max="8" width="24" hidden="0" customWidth="1"/>
    <x:col min="9" max="9" width="24" hidden="0" customWidth="1"/>
    <x:col min="10" max="10" width="22" hidden="0" customWidth="1"/>
    <x:col min="11" max="11" width="22" hidden="0" customWidth="1"/>
    <x:col min="12" max="12" width="22" hidden="0" customWidth="1"/>
    <x:col min="13" max="13" width="55" hidden="0" customWidth="1"/>
    <x:col min="14" max="14" width="12" hidden="0" customWidth="1"/>
    <x:col min="15" max="15" width="12" hidden="0" customWidth="1"/>
    <x:col min="16" max="16" width="12"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8" hidden="0" customWidth="1"/>
    <x:col min="25" max="25" width="18" hidden="0" customWidth="1"/>
    <x:col min="26" max="26" width="58" hidden="0" customWidth="1"/>
    <x:col min="27" max="27" width="42" hidden="0" customWidth="1"/>
    <x:col min="28" max="28" width="22" hidden="0" customWidth="1"/>
    <x:col min="29" max="29" width="22" hidden="0" customWidth="1"/>
    <x:col min="30" max="30" width="22" hidden="0" customWidth="1"/>
  </x:cols>
  <x:sheetData>
    <x:row r="1">
      <x:c r="A1" s="6" t="str">
        <x:v>Run_ID</x:v>
      </x:c>
      <x:c r="B1" s="6" t="str">
        <x:v>Step_ID</x:v>
      </x:c>
      <x:c r="C1" s="6" t="str">
        <x:v>Domain</x:v>
      </x:c>
      <x:c r="D1" s="6" t="str">
        <x:v>Subdomain</x:v>
      </x:c>
      <x:c r="E1" s="6" t="str">
        <x:v>Step_Type</x:v>
      </x:c>
      <x:c r="F1" s="6" t="str">
        <x:v>Complexity_1_5</x:v>
      </x:c>
      <x:c r="G1" s="6" t="str">
        <x:v>Step_Description</x:v>
      </x:c>
      <x:c r="H1" s="6" t="str">
        <x:v>Tool_Names</x:v>
      </x:c>
      <x:c r="I1" s="6" t="str">
        <x:v>Supplies_Objects</x:v>
      </x:c>
      <x:c r="J1" s="6" t="str">
        <x:v>Model</x:v>
      </x:c>
      <x:c r="K1" s="6" t="str">
        <x:v>Prompt_Architecture</x:v>
      </x:c>
      <x:c r="L1" s="6" t="str">
        <x:v>Architecture_Rationale</x:v>
      </x:c>
      <x:c r="M1" s="6" t="str">
        <x:v>Prompt_Text</x:v>
      </x:c>
      <x:c r="N1" s="6" t="str">
        <x:v>Clip_Seconds</x:v>
      </x:c>
      <x:c r="O1" s="6" t="str">
        <x:v>Seed</x:v>
      </x:c>
      <x:c r="P1" s="6" t="str">
        <x:v>Rater_ID</x:v>
      </x:c>
      <x:c r="Q1" s="6" t="str">
        <x:v>Technical_Accuracy</x:v>
      </x:c>
      <x:c r="R1" s="6" t="str">
        <x:v>Action_Completeness</x:v>
      </x:c>
      <x:c r="S1" s="6" t="str">
        <x:v>Object_Fidelity</x:v>
      </x:c>
      <x:c r="T1" s="6" t="str">
        <x:v>Instructional_Clarity</x:v>
      </x:c>
      <x:c r="U1" s="6" t="str">
        <x:v>Safety_Realism</x:v>
      </x:c>
      <x:c r="V1" s="6" t="str">
        <x:v>Visual_Consistency</x:v>
      </x:c>
      <x:c r="W1" s="6" t="str">
        <x:v>Weighted_Score</x:v>
      </x:c>
      <x:c r="X1" s="6" t="str">
        <x:v>Pass_Fail</x:v>
      </x:c>
      <x:c r="Y1" s="6" t="str">
        <x:v>Primary_Failure_Mode</x:v>
      </x:c>
      <x:c r="Z1" s="6" t="str">
        <x:v>Human_Observation</x:v>
      </x:c>
      <x:c r="AA1" s="6" t="str">
        <x:v>Reprompt_Recommendation</x:v>
      </x:c>
      <x:c r="AB1" s="6" t="str">
        <x:v>Rater_Confidence</x:v>
      </x:c>
      <x:c r="AC1" s="6" t="str">
        <x:v>Generated_Clip_URL</x:v>
      </x:c>
      <x:c r="AD1" s="6" t="str">
        <x:v>Data_Provenance</x:v>
      </x:c>
    </x:row>
    <x:row r="2">
      <x:c r="A2" t="str">
        <x:v>S001-Veo-DIR</x:v>
      </x:c>
      <x:c r="B2" t="str">
        <x:v>S001</x:v>
      </x:c>
      <x:c r="C2" t="str">
        <x:v>Plumbing</x:v>
      </x:c>
      <x:c r="D2" t="str">
        <x:v>fixture repair</x:v>
      </x:c>
      <x:c r="E2" t="str">
        <x:v>tightening</x:v>
      </x:c>
      <x:c r="F2" t="n">
        <x:v>4</x:v>
      </x:c>
      <x:c r="G2" t="str">
        <x:v>tighten a compression nut on a toilet fill valve</x:v>
      </x:c>
      <x:c r="H2" t="str">
        <x:v>adjustable wrench</x:v>
      </x:c>
      <x:c r="I2" t="str">
        <x:v>toilet fill valve, compression nut</x:v>
      </x:c>
      <x:c r="J2" t="str">
        <x:v>Veo 3.1</x:v>
      </x:c>
      <x:c r="K2" t="str">
        <x:v>Direct Natural Language</x:v>
      </x:c>
      <x:c r="L2" t="str">
        <x:v>Baseline wording only; no explicit decomposition.</x:v>
      </x:c>
      <x:c r="M2" t="str">
        <x:v>Close-up realistic instructional DIY video: tighten a compression nut on a toilet fill valve. Show adjustable wrench working on toilet fill valve, compression nut. Hands visible, stable camera, no text overlay, neutral shop lighting.</x:v>
      </x:c>
      <x:c r="N2" s="14" t="n">
        <x:v>8</x:v>
      </x:c>
      <x:c r="O2" s="14" t="n">
        <x:v>100010</x:v>
      </x:c>
      <x:c r="P2" t="str">
        <x:v>R-B</x:v>
      </x:c>
      <x:c r="Q2" s="12" t="n">
        <x:v>3.34</x:v>
      </x:c>
      <x:c r="R2" s="12" t="n">
        <x:v>3.88</x:v>
      </x:c>
      <x:c r="S2" s="12" t="n">
        <x:v>3.51</x:v>
      </x:c>
      <x:c r="T2" s="12" t="n">
        <x:v>3.88</x:v>
      </x:c>
      <x:c r="U2" s="12" t="n">
        <x:v>3.27</x:v>
      </x:c>
      <x:c r="V2" s="12" t="n">
        <x:v>3.66</x:v>
      </x:c>
      <x:c r="W2" s="12" t="n">
        <x:f>ROUND((Q2*0.24)+(R2*0.22)+(S2*0.16)+(T2*0.18)+(U2*0.10)+(V2*0.10),2)</x:f>
        <x:v>3.61</x:v>
      </x:c>
      <x:c r="X2" t="str">
        <x:f>IF(W2&gt;=3.55,"Pass","Fail")</x:f>
        <x:v>Pass</x:v>
      </x:c>
      <x:c r="Y2" t="str">
        <x:v>tool floats near object</x:v>
      </x:c>
      <x:c r="Z2" t="str">
        <x:v>Review note: The intention is clear, especially if you already know the step. A novice might miss the key detail because this issue appears right where the action should be most explicit: tool floats near object. On a small preview it might pass, but full-screen review exposes the issue. The baseline prompt is likely under-specifying the tool path.</x:v>
      </x:c>
      <x:c r="AA2" t="str">
        <x:v>Use sequential context only for continuity, not for adding previous/next steps into the frame.</x:v>
      </x:c>
      <x:c r="AB2" t="str">
        <x:v>Medium-High</x:v>
      </x:c>
      <x:c r="AC2" t="str"/>
      <x:c r="AD2" t="str">
        <x:v>Synthetic benchmark entry; generated clip URL should be filled after API run.</x:v>
      </x:c>
    </x:row>
    <x:row r="3">
      <x:c r="A3" t="str">
        <x:v>S001-Sora-DIR</x:v>
      </x:c>
      <x:c r="B3" t="str">
        <x:v>S001</x:v>
      </x:c>
      <x:c r="C3" t="str">
        <x:v>Plumbing</x:v>
      </x:c>
      <x:c r="D3" t="str">
        <x:v>fixture repair</x:v>
      </x:c>
      <x:c r="E3" t="str">
        <x:v>tightening</x:v>
      </x:c>
      <x:c r="F3" t="n">
        <x:v>4</x:v>
      </x:c>
      <x:c r="G3" t="str">
        <x:v>tighten a compression nut on a toilet fill valve</x:v>
      </x:c>
      <x:c r="H3" t="str">
        <x:v>adjustable wrench</x:v>
      </x:c>
      <x:c r="I3" t="str">
        <x:v>toilet fill valve, compression nut</x:v>
      </x:c>
      <x:c r="J3" t="str">
        <x:v>Sora 2 Pro</x:v>
      </x:c>
      <x:c r="K3" t="str">
        <x:v>Direct Natural Language</x:v>
      </x:c>
      <x:c r="L3" t="str">
        <x:v>Baseline wording only; no explicit decomposition.</x:v>
      </x:c>
      <x:c r="M3" t="str">
        <x:v>Close-up realistic instructional DIY video: tighten a compression nut on a toilet fill valve. Show adjustable wrench working on toilet fill valve, compression nut. Hands visible, stable camera, no text overlay, neutral shop lighting.</x:v>
      </x:c>
      <x:c r="N3" s="14" t="n">
        <x:v>8</x:v>
      </x:c>
      <x:c r="O3" s="14" t="n">
        <x:v>100011</x:v>
      </x:c>
      <x:c r="P3" t="str">
        <x:v>R-E</x:v>
      </x:c>
      <x:c r="Q3" s="12" t="n">
        <x:v>3.45</x:v>
      </x:c>
      <x:c r="R3" s="12" t="n">
        <x:v>4.28</x:v>
      </x:c>
      <x:c r="S3" s="12" t="n">
        <x:v>3.71</x:v>
      </x:c>
      <x:c r="T3" s="12" t="n">
        <x:v>3.64</x:v>
      </x:c>
      <x:c r="U3" s="12" t="n">
        <x:v>3.85</x:v>
      </x:c>
      <x:c r="V3" s="12" t="n">
        <x:v>3.96</x:v>
      </x:c>
      <x:c r="W3" s="12" t="n">
        <x:f>ROUND((Q3*0.24)+(R3*0.22)+(S3*0.16)+(T3*0.18)+(U3*0.10)+(V3*0.10),2)</x:f>
        <x:v>3.8</x:v>
      </x:c>
      <x:c r="X3" t="str">
        <x:f>IF(W3&gt;=3.55,"Pass","Fail")</x:f>
        <x:v>Pass</x:v>
      </x:c>
      <x:c r="Y3" t="str">
        <x:v>tool pose a little soft</x:v>
      </x:c>
      <x:c r="Z3" t="str">
        <x:v>Clip review: Looks plausible at first glance. On a second pass, the toilet fill valve, compression nut shifts slightly and the model seems to infer the outcome rather than show the full tightening. The mistake appears late, so a simple thumbnail review would probably miss it. For this plumbing example, the main judgment is still whether the viewer can copy the motion.</x:v>
      </x:c>
      <x:c r="AA3" t="str">
        <x:v>Specify the exact contact point and do not allow the hand to cover it.</x:v>
      </x:c>
      <x:c r="AB3" t="str">
        <x:v>Medium-High</x:v>
      </x:c>
      <x:c r="AC3" t="str"/>
      <x:c r="AD3" t="str">
        <x:v>Synthetic benchmark entry; generated clip URL should be filled after API run.</x:v>
      </x:c>
    </x:row>
    <x:row r="4">
      <x:c r="A4" t="str">
        <x:v>S001-Runway-DIR</x:v>
      </x:c>
      <x:c r="B4" t="str">
        <x:v>S001</x:v>
      </x:c>
      <x:c r="C4" t="str">
        <x:v>Plumbing</x:v>
      </x:c>
      <x:c r="D4" t="str">
        <x:v>fixture repair</x:v>
      </x:c>
      <x:c r="E4" t="str">
        <x:v>tightening</x:v>
      </x:c>
      <x:c r="F4" t="n">
        <x:v>4</x:v>
      </x:c>
      <x:c r="G4" t="str">
        <x:v>tighten a compression nut on a toilet fill valve</x:v>
      </x:c>
      <x:c r="H4" t="str">
        <x:v>adjustable wrench</x:v>
      </x:c>
      <x:c r="I4" t="str">
        <x:v>toilet fill valve, compression nut</x:v>
      </x:c>
      <x:c r="J4" t="str">
        <x:v>Runway Gen-4.5</x:v>
      </x:c>
      <x:c r="K4" t="str">
        <x:v>Direct Natural Language</x:v>
      </x:c>
      <x:c r="L4" t="str">
        <x:v>Baseline wording only; no explicit decomposition.</x:v>
      </x:c>
      <x:c r="M4" t="str">
        <x:v>Close-up realistic instructional DIY video: tighten a compression nut on a toilet fill valve. Show adjustable wrench working on toilet fill valve, compression nut. Hands visible, stable camera, no text overlay, neutral shop lighting.</x:v>
      </x:c>
      <x:c r="N4" s="14" t="n">
        <x:v>5</x:v>
      </x:c>
      <x:c r="O4" s="14" t="n">
        <x:v>100012</x:v>
      </x:c>
      <x:c r="P4" t="str">
        <x:v>R-D</x:v>
      </x:c>
      <x:c r="Q4" s="12" t="n">
        <x:v>3.8</x:v>
      </x:c>
      <x:c r="R4" s="12" t="n">
        <x:v>3.31</x:v>
      </x:c>
      <x:c r="S4" s="12" t="n">
        <x:v>3.9</x:v>
      </x:c>
      <x:c r="T4" s="12" t="n">
        <x:v>3.59</x:v>
      </x:c>
      <x:c r="U4" s="12" t="n">
        <x:v>4.09</x:v>
      </x:c>
      <x:c r="V4" s="12" t="n">
        <x:v>3.9</x:v>
      </x:c>
      <x:c r="W4" s="12" t="n">
        <x:f>ROUND((Q4*0.24)+(R4*0.22)+(S4*0.16)+(T4*0.18)+(U4*0.10)+(V4*0.10),2)</x:f>
        <x:v>3.71</x:v>
      </x:c>
      <x:c r="X4" t="str">
        <x:f>IF(W4&gt;=3.55,"Pass","Fail")</x:f>
        <x:v>Pass</x:v>
      </x:c>
      <x:c r="Y4" t="str">
        <x:v>minor continuity jump</x:v>
      </x:c>
      <x:c r="Z4" t="str">
        <x:v>QA note: Usable, but I would not show it without review. The adjustable wrench is recognizable, yet the exact contact point is hard to see when the hand crosses the frame. The prompt should prioritize hand path over cinematic lighting. The baseline prompt is likely under-specifying the tool path.</x:v>
      </x:c>
      <x:c r="AA4" t="str">
        <x:v>Use a reference image for the adjustable wrench and specify its grip/orientation in plain language.</x:v>
      </x:c>
      <x:c r="AB4" t="str">
        <x:v>Medium-High</x:v>
      </x:c>
      <x:c r="AC4" t="str"/>
      <x:c r="AD4" t="str">
        <x:v>Simulated pilot row for planning; replace with blinded ratings after generating actual clips.</x:v>
      </x:c>
    </x:row>
    <x:row r="5">
      <x:c r="A5" t="str">
        <x:v>S001-Kling-DIR</x:v>
      </x:c>
      <x:c r="B5" t="str">
        <x:v>S001</x:v>
      </x:c>
      <x:c r="C5" t="str">
        <x:v>Plumbing</x:v>
      </x:c>
      <x:c r="D5" t="str">
        <x:v>fixture repair</x:v>
      </x:c>
      <x:c r="E5" t="str">
        <x:v>tightening</x:v>
      </x:c>
      <x:c r="F5" t="n">
        <x:v>4</x:v>
      </x:c>
      <x:c r="G5" t="str">
        <x:v>tighten a compression nut on a toilet fill valve</x:v>
      </x:c>
      <x:c r="H5" t="str">
        <x:v>adjustable wrench</x:v>
      </x:c>
      <x:c r="I5" t="str">
        <x:v>toilet fill valve, compression nut</x:v>
      </x:c>
      <x:c r="J5" t="str">
        <x:v>Kling v3.0 (Replicate)</x:v>
      </x:c>
      <x:c r="K5" t="str">
        <x:v>Direct Natural Language</x:v>
      </x:c>
      <x:c r="L5" t="str">
        <x:v>Baseline wording only; no explicit decomposition.</x:v>
      </x:c>
      <x:c r="M5" t="str">
        <x:v>Close-up realistic instructional DIY video: tighten a compression nut on a toilet fill valve. Show adjustable wrench working on toilet fill valve, compression nut. Hands visible, stable camera, no text overlay, neutral shop lighting.</x:v>
      </x:c>
      <x:c r="N5" s="14" t="n">
        <x:v>10</x:v>
      </x:c>
      <x:c r="O5" s="14" t="n">
        <x:v>100013</x:v>
      </x:c>
      <x:c r="P5" t="str">
        <x:v>R-D</x:v>
      </x:c>
      <x:c r="Q5" s="12" t="n">
        <x:v>3.79</x:v>
      </x:c>
      <x:c r="R5" s="12" t="n">
        <x:v>4.21</x:v>
      </x:c>
      <x:c r="S5" s="12" t="n">
        <x:v>3.23</x:v>
      </x:c>
      <x:c r="T5" s="12" t="n">
        <x:v>3.94</x:v>
      </x:c>
      <x:c r="U5" s="12" t="n">
        <x:v>3.52</x:v>
      </x:c>
      <x:c r="V5" s="12" t="n">
        <x:v>3.6</x:v>
      </x:c>
      <x:c r="W5" s="12" t="n">
        <x:f>ROUND((Q5*0.24)+(R5*0.22)+(S5*0.16)+(T5*0.18)+(U5*0.10)+(V5*0.10),2)</x:f>
        <x:v>3.77</x:v>
      </x:c>
      <x:c r="X5" t="str">
        <x:f>IF(W5&gt;=3.55,"Pass","Fail")</x:f>
        <x:v>Pass</x:v>
      </x:c>
      <x:c r="Y5" t="str">
        <x:v>camera blocks work</x:v>
      </x:c>
      <x:c r="Z5" t="str">
        <x:v>Review note: Usable, but I would not show it without review. The adjustable wrench is recognizable, yet the exact contact point is hard to see when the hand crosses the frame. The most important fix is to show the before-and-after state without a cut. The baseline prompt is likely under-specifying the tool path.</x:v>
      </x:c>
      <x:c r="AA5" t="str">
        <x:v>Add a one-sentence end-state requirement: viewer must see the completed tightening result for one full second.</x:v>
      </x:c>
      <x:c r="AB5" t="str">
        <x:v>Medium</x:v>
      </x:c>
      <x:c r="AC5" t="str"/>
      <x:c r="AD5" t="str">
        <x:v>Mock rater record for experiment design; audit against real video outputs before publication.</x:v>
      </x:c>
    </x:row>
    <x:row r="6">
      <x:c r="A6" t="str">
        <x:v>S001-Pika-DIR</x:v>
      </x:c>
      <x:c r="B6" t="str">
        <x:v>S001</x:v>
      </x:c>
      <x:c r="C6" t="str">
        <x:v>Plumbing</x:v>
      </x:c>
      <x:c r="D6" t="str">
        <x:v>fixture repair</x:v>
      </x:c>
      <x:c r="E6" t="str">
        <x:v>tightening</x:v>
      </x:c>
      <x:c r="F6" t="n">
        <x:v>4</x:v>
      </x:c>
      <x:c r="G6" t="str">
        <x:v>tighten a compression nut on a toilet fill valve</x:v>
      </x:c>
      <x:c r="H6" t="str">
        <x:v>adjustable wrench</x:v>
      </x:c>
      <x:c r="I6" t="str">
        <x:v>toilet fill valve, compression nut</x:v>
      </x:c>
      <x:c r="J6" t="str">
        <x:v>Pika 2.2</x:v>
      </x:c>
      <x:c r="K6" t="str">
        <x:v>Direct Natural Language</x:v>
      </x:c>
      <x:c r="L6" t="str">
        <x:v>Baseline wording only; no explicit decomposition.</x:v>
      </x:c>
      <x:c r="M6" t="str">
        <x:v>Close-up realistic instructional DIY video: tighten a compression nut on a toilet fill valve. Show adjustable wrench working on toilet fill valve, compression nut. Hands visible, stable camera, no text overlay, neutral shop lighting.</x:v>
      </x:c>
      <x:c r="N6" s="14" t="n">
        <x:v>5</x:v>
      </x:c>
      <x:c r="O6" s="14" t="n">
        <x:v>100014</x:v>
      </x:c>
      <x:c r="P6" t="str">
        <x:v>R-B</x:v>
      </x:c>
      <x:c r="Q6" s="12" t="n">
        <x:v>3.12</x:v>
      </x:c>
      <x:c r="R6" s="12" t="n">
        <x:v>3.4</x:v>
      </x:c>
      <x:c r="S6" s="12" t="n">
        <x:v>2.45</x:v>
      </x:c>
      <x:c r="T6" s="12" t="n">
        <x:v>3.68</x:v>
      </x:c>
      <x:c r="U6" s="12" t="n">
        <x:v>3.27</x:v>
      </x:c>
      <x:c r="V6" s="12" t="n">
        <x:v>3.22</x:v>
      </x:c>
      <x:c r="W6" s="12" t="n">
        <x:f>ROUND((Q6*0.24)+(R6*0.22)+(S6*0.16)+(T6*0.18)+(U6*0.10)+(V6*0.10),2)</x:f>
        <x:v>3.2</x:v>
      </x:c>
      <x:c r="X6" t="str">
        <x:f>IF(W6&gt;=3.55,"Pass","Fail")</x:f>
        <x:v>Fail</x:v>
      </x:c>
      <x:c r="Y6" t="str">
        <x:v>object morphs</x:v>
      </x:c>
      <x:c r="Z6" t="str">
        <x:v>Review note: A reviewer would likely reject this. It may be visually attractive, but the tool/object relationship breaks during the important moment. The clip needs a verifier pass before it can enter the training pool. The baseline prompt is likely under-specifying the tool path.</x:v>
      </x:c>
      <x:c r="AA6" t="str">
        <x:v>Use sequential context only for continuity, not for adding previous/next steps into the frame.</x:v>
      </x:c>
      <x:c r="AB6" t="str">
        <x:v>Medium-High</x:v>
      </x:c>
      <x:c r="AC6" t="str"/>
      <x:c r="AD6" t="str">
        <x:v>Synthetic benchmark entry; generated clip URL should be filled after API run.</x:v>
      </x:c>
    </x:row>
    <x:row r="7">
      <x:c r="A7" t="str">
        <x:v>S001-Vidu-DIR</x:v>
      </x:c>
      <x:c r="B7" t="str">
        <x:v>S001</x:v>
      </x:c>
      <x:c r="C7" t="str">
        <x:v>Plumbing</x:v>
      </x:c>
      <x:c r="D7" t="str">
        <x:v>fixture repair</x:v>
      </x:c>
      <x:c r="E7" t="str">
        <x:v>tightening</x:v>
      </x:c>
      <x:c r="F7" t="n">
        <x:v>4</x:v>
      </x:c>
      <x:c r="G7" t="str">
        <x:v>tighten a compression nut on a toilet fill valve</x:v>
      </x:c>
      <x:c r="H7" t="str">
        <x:v>adjustable wrench</x:v>
      </x:c>
      <x:c r="I7" t="str">
        <x:v>toilet fill valve, compression nut</x:v>
      </x:c>
      <x:c r="J7" t="str">
        <x:v>Vidu 2.0</x:v>
      </x:c>
      <x:c r="K7" t="str">
        <x:v>Direct Natural Language</x:v>
      </x:c>
      <x:c r="L7" t="str">
        <x:v>Baseline wording only; no explicit decomposition.</x:v>
      </x:c>
      <x:c r="M7" t="str">
        <x:v>Close-up realistic instructional DIY video: tighten a compression nut on a toilet fill valve. Show adjustable wrench working on toilet fill valve, compression nut. Hands visible, stable camera, no text overlay, neutral shop lighting.</x:v>
      </x:c>
      <x:c r="N7" s="14" t="n">
        <x:v>5</x:v>
      </x:c>
      <x:c r="O7" s="14" t="n">
        <x:v>100015</x:v>
      </x:c>
      <x:c r="P7" t="str">
        <x:v>R-C</x:v>
      </x:c>
      <x:c r="Q7" s="12" t="n">
        <x:v>2.71</x:v>
      </x:c>
      <x:c r="R7" s="12" t="n">
        <x:v>3.02</x:v>
      </x:c>
      <x:c r="S7" s="12" t="n">
        <x:v>2.9</x:v>
      </x:c>
      <x:c r="T7" s="12" t="n">
        <x:v>3.34</x:v>
      </x:c>
      <x:c r="U7" s="12" t="n">
        <x:v>3.37</x:v>
      </x:c>
      <x:c r="V7" s="12" t="n">
        <x:v>3.67</x:v>
      </x:c>
      <x:c r="W7" s="12" t="n">
        <x:f>ROUND((Q7*0.24)+(R7*0.22)+(S7*0.16)+(T7*0.18)+(U7*0.10)+(V7*0.10),2)</x:f>
        <x:v>3.08</x:v>
      </x:c>
      <x:c r="X7" t="str">
        <x:f>IF(W7&gt;=3.55,"Pass","Fail")</x:f>
        <x:v>Fail</x:v>
      </x:c>
      <x:c r="Y7" t="str">
        <x:v>object morphs</x:v>
      </x:c>
      <x:c r="Z7" t="str">
        <x:v>QA note: Too much is being implied. The adjustable wrench and toilet fill valve, compression nut are in the scene, but the motion does not demonstrate the actual repair step. The tool silhouette is acceptable; the mechanics are the weak part. The baseline prompt is likely under-specifying the tool path.</x:v>
      </x:c>
      <x:c r="AA7" t="str">
        <x:v>Ask for a static close-up and require the adjustable wrench to touch the toilet fill valve, compression nut before any motion starts.</x:v>
      </x:c>
      <x:c r="AB7" t="str">
        <x:v>Medium</x:v>
      </x:c>
      <x:c r="AC7" t="str"/>
      <x:c r="AD7" t="str">
        <x:v>Mock rater record for experiment design; audit against real video outputs before publication.</x:v>
      </x:c>
    </x:row>
    <x:row r="8">
      <x:c r="A8" t="str">
        <x:v>S002-Veo-STR</x:v>
      </x:c>
      <x:c r="B8" t="str">
        <x:v>S002</x:v>
      </x:c>
      <x:c r="C8" t="str">
        <x:v>Plumbing</x:v>
      </x:c>
      <x:c r="D8" t="str">
        <x:v>pipe sealing</x:v>
      </x:c>
      <x:c r="E8" t="str">
        <x:v>wrapping</x:v>
      </x:c>
      <x:c r="F8" t="n">
        <x:v>2</x:v>
      </x:c>
      <x:c r="G8" t="str">
        <x:v>wrap PTFE tape clockwise on shower-arm threads</x:v>
      </x:c>
      <x:c r="H8" t="str">
        <x:v>PTFE tape roll</x:v>
      </x:c>
      <x:c r="I8" t="str">
        <x:v>shower arm threads</x:v>
      </x:c>
      <x:c r="J8" t="str">
        <x:v>Veo 3.1</x:v>
      </x:c>
      <x:c r="K8" t="str">
        <x:v>Structured Action-Object-Tool</x:v>
      </x:c>
      <x:c r="L8" t="str">
        <x:v>Action, tool, object, grip, contact point, start/end states.</x:v>
      </x:c>
      <x:c r="M8" t="str">
        <x:v>Close-up realistic instructional DIY video: wrap PTFE tape clockwise on shower-arm threads. Show PTFE tape roll working on shower arm threads. Hands visible, stable camera, no text overlay, neutral shop lighting. Action=wrapping; tool=PTFE tape roll; object/material=shower arm threads; show tool-to-object contact; start state, motion, and finished state all visible.</x:v>
      </x:c>
      <x:c r="N8" s="14" t="n">
        <x:v>8</x:v>
      </x:c>
      <x:c r="O8" s="14" t="n">
        <x:v>100020</x:v>
      </x:c>
      <x:c r="P8" t="str">
        <x:v>R-C</x:v>
      </x:c>
      <x:c r="Q8" s="12" t="n">
        <x:v>4.91</x:v>
      </x:c>
      <x:c r="R8" s="12" t="n">
        <x:v>4.58</x:v>
      </x:c>
      <x:c r="S8" s="12" t="n">
        <x:v>4.41</x:v>
      </x:c>
      <x:c r="T8" s="12" t="n">
        <x:v>4.69</x:v>
      </x:c>
      <x:c r="U8" s="12" t="n">
        <x:v>4.32</x:v>
      </x:c>
      <x:c r="V8" s="12" t="n">
        <x:v>5</x:v>
      </x:c>
      <x:c r="W8" s="12" t="n">
        <x:f>ROUND((Q8*0.24)+(R8*0.22)+(S8*0.16)+(T8*0.18)+(U8*0.10)+(V8*0.10),2)</x:f>
        <x:v>4.67</x:v>
      </x:c>
      <x:c r="X8" t="str">
        <x:f>IF(W8&gt;=3.55,"Pass","Fail")</x:f>
        <x:v>Pass</x:v>
      </x:c>
      <x:c r="Y8" t="str">
        <x:v>none</x:v>
      </x:c>
      <x:c r="Z8" t="str">
        <x:v>QA note: The clip feels like a usable shop-demo take. I can see the hand position and the shower arm threads; it just needs a slightly longer hold on the final state. This reads better as a teaser than as an instructional clip. For this plumbing example, the main judgment is still whether the viewer can copy the motion.</x:v>
      </x:c>
      <x:c r="AA8" t="str">
        <x:v>No immediate re-run; keep as candidate and verify with a second rater.</x:v>
      </x:c>
      <x:c r="AB8" t="str">
        <x:v>High</x:v>
      </x:c>
      <x:c r="AC8" t="str"/>
      <x:c r="AD8" t="str">
        <x:v>Mock rater record for experiment design; audit against real video outputs before publication.</x:v>
      </x:c>
    </x:row>
    <x:row r="9">
      <x:c r="A9" t="str">
        <x:v>S002-Sora-STR</x:v>
      </x:c>
      <x:c r="B9" t="str">
        <x:v>S002</x:v>
      </x:c>
      <x:c r="C9" t="str">
        <x:v>Plumbing</x:v>
      </x:c>
      <x:c r="D9" t="str">
        <x:v>pipe sealing</x:v>
      </x:c>
      <x:c r="E9" t="str">
        <x:v>wrapping</x:v>
      </x:c>
      <x:c r="F9" t="n">
        <x:v>2</x:v>
      </x:c>
      <x:c r="G9" t="str">
        <x:v>wrap PTFE tape clockwise on shower-arm threads</x:v>
      </x:c>
      <x:c r="H9" t="str">
        <x:v>PTFE tape roll</x:v>
      </x:c>
      <x:c r="I9" t="str">
        <x:v>shower arm threads</x:v>
      </x:c>
      <x:c r="J9" t="str">
        <x:v>Sora 2 Pro</x:v>
      </x:c>
      <x:c r="K9" t="str">
        <x:v>Structured Action-Object-Tool</x:v>
      </x:c>
      <x:c r="L9" t="str">
        <x:v>Action, tool, object, grip, contact point, start/end states.</x:v>
      </x:c>
      <x:c r="M9" t="str">
        <x:v>Close-up realistic instructional DIY video: wrap PTFE tape clockwise on shower-arm threads. Show PTFE tape roll working on shower arm threads. Hands visible, stable camera, no text overlay, neutral shop lighting. Action=wrapping; tool=PTFE tape roll; object/material=shower arm threads; show tool-to-object contact; start state, motion, and finished state all visible.</x:v>
      </x:c>
      <x:c r="N9" s="14" t="n">
        <x:v>8</x:v>
      </x:c>
      <x:c r="O9" s="14" t="n">
        <x:v>100021</x:v>
      </x:c>
      <x:c r="P9" t="str">
        <x:v>R-C</x:v>
      </x:c>
      <x:c r="Q9" s="12" t="n">
        <x:v>4.52</x:v>
      </x:c>
      <x:c r="R9" s="12" t="n">
        <x:v>4.45</x:v>
      </x:c>
      <x:c r="S9" s="12" t="n">
        <x:v>4.75</x:v>
      </x:c>
      <x:c r="T9" s="12" t="n">
        <x:v>4.67</x:v>
      </x:c>
      <x:c r="U9" s="12" t="n">
        <x:v>4.16</x:v>
      </x:c>
      <x:c r="V9" s="12" t="n">
        <x:v>4.17</x:v>
      </x:c>
      <x:c r="W9" s="12" t="n">
        <x:f>ROUND((Q9*0.24)+(R9*0.22)+(S9*0.16)+(T9*0.18)+(U9*0.10)+(V9*0.10),2)</x:f>
        <x:v>4.5</x:v>
      </x:c>
      <x:c r="X9" t="str">
        <x:f>IF(W9&gt;=3.55,"Pass","Fail")</x:f>
        <x:v>Pass</x:v>
      </x:c>
      <x:c r="Y9" t="str">
        <x:v>none</x:v>
      </x:c>
      <x:c r="Z9" t="str">
        <x:v>Rater note: Best part is the pacing: it gives enough time to understand wrapping without turning into a beauty shot. Minor issue: overly cinematic framing. The most important fix is to show the before-and-after state without a cut. For this plumbing example, the main judgment is still whether the viewer can copy the motion.</x:v>
      </x:c>
      <x:c r="AA9" t="str">
        <x:v>No immediate re-run; keep as candidate and verify with a second rater.</x:v>
      </x:c>
      <x:c r="AB9" t="str">
        <x:v>High</x:v>
      </x:c>
      <x:c r="AC9" t="str"/>
      <x:c r="AD9" t="str">
        <x:v>Synthetic benchmark entry; generated clip URL should be filled after API run.</x:v>
      </x:c>
    </x:row>
    <x:row r="10">
      <x:c r="A10" t="str">
        <x:v>S002-Runway-STR</x:v>
      </x:c>
      <x:c r="B10" t="str">
        <x:v>S002</x:v>
      </x:c>
      <x:c r="C10" t="str">
        <x:v>Plumbing</x:v>
      </x:c>
      <x:c r="D10" t="str">
        <x:v>pipe sealing</x:v>
      </x:c>
      <x:c r="E10" t="str">
        <x:v>wrapping</x:v>
      </x:c>
      <x:c r="F10" t="n">
        <x:v>2</x:v>
      </x:c>
      <x:c r="G10" t="str">
        <x:v>wrap PTFE tape clockwise on shower-arm threads</x:v>
      </x:c>
      <x:c r="H10" t="str">
        <x:v>PTFE tape roll</x:v>
      </x:c>
      <x:c r="I10" t="str">
        <x:v>shower arm threads</x:v>
      </x:c>
      <x:c r="J10" t="str">
        <x:v>Runway Gen-4.5</x:v>
      </x:c>
      <x:c r="K10" t="str">
        <x:v>Structured Action-Object-Tool</x:v>
      </x:c>
      <x:c r="L10" t="str">
        <x:v>Action, tool, object, grip, contact point, start/end states.</x:v>
      </x:c>
      <x:c r="M10" t="str">
        <x:v>Close-up realistic instructional DIY video: wrap PTFE tape clockwise on shower-arm threads. Show PTFE tape roll working on shower arm threads. Hands visible, stable camera, no text overlay, neutral shop lighting. Action=wrapping; tool=PTFE tape roll; object/material=shower arm threads; show tool-to-object contact; start state, motion, and finished state all visible.</x:v>
      </x:c>
      <x:c r="N10" s="14" t="n">
        <x:v>5</x:v>
      </x:c>
      <x:c r="O10" s="14" t="n">
        <x:v>100022</x:v>
      </x:c>
      <x:c r="P10" t="str">
        <x:v>R-E</x:v>
      </x:c>
      <x:c r="Q10" s="12" t="n">
        <x:v>4.54</x:v>
      </x:c>
      <x:c r="R10" s="12" t="n">
        <x:v>3.95</x:v>
      </x:c>
      <x:c r="S10" s="12" t="n">
        <x:v>4.3</x:v>
      </x:c>
      <x:c r="T10" s="12" t="n">
        <x:v>3.73</x:v>
      </x:c>
      <x:c r="U10" s="12" t="n">
        <x:v>4.36</x:v>
      </x:c>
      <x:c r="V10" s="12" t="n">
        <x:v>3.93</x:v>
      </x:c>
      <x:c r="W10" s="12" t="n">
        <x:f>ROUND((Q10*0.24)+(R10*0.22)+(S10*0.16)+(T10*0.18)+(U10*0.10)+(V10*0.10),2)</x:f>
        <x:v>4.15</x:v>
      </x:c>
      <x:c r="X10" t="str">
        <x:f>IF(W10&gt;=3.55,"Pass","Fail")</x:f>
        <x:v>Pass</x:v>
      </x:c>
      <x:c r="Y10" t="str">
        <x:v>contact point hidden</x:v>
      </x:c>
      <x:c r="Z10" t="str">
        <x:v>Human check: Best part is the pacing: it gives enough time to understand wrapping without turning into a beauty shot. Minor issue: short clip compresses the final step. The clip needs a verifier pass before it can enter the training pool. For this plumbing example, the main judgment is still whether the viewer can copy the motion.</x:v>
      </x:c>
      <x:c r="AA10" t="str">
        <x:v>Move safety language earlier in the prompt and remove cinematic camera instructions.</x:v>
      </x:c>
      <x:c r="AB10" t="str">
        <x:v>High</x:v>
      </x:c>
      <x:c r="AC10" t="str"/>
      <x:c r="AD10" t="str">
        <x:v>Simulated pilot row for planning; replace with blinded ratings after generating actual clips.</x:v>
      </x:c>
    </x:row>
    <x:row r="11">
      <x:c r="A11" t="str">
        <x:v>S002-Kling-STR</x:v>
      </x:c>
      <x:c r="B11" t="str">
        <x:v>S002</x:v>
      </x:c>
      <x:c r="C11" t="str">
        <x:v>Plumbing</x:v>
      </x:c>
      <x:c r="D11" t="str">
        <x:v>pipe sealing</x:v>
      </x:c>
      <x:c r="E11" t="str">
        <x:v>wrapping</x:v>
      </x:c>
      <x:c r="F11" t="n">
        <x:v>2</x:v>
      </x:c>
      <x:c r="G11" t="str">
        <x:v>wrap PTFE tape clockwise on shower-arm threads</x:v>
      </x:c>
      <x:c r="H11" t="str">
        <x:v>PTFE tape roll</x:v>
      </x:c>
      <x:c r="I11" t="str">
        <x:v>shower arm threads</x:v>
      </x:c>
      <x:c r="J11" t="str">
        <x:v>Kling v3.0 (Replicate)</x:v>
      </x:c>
      <x:c r="K11" t="str">
        <x:v>Structured Action-Object-Tool</x:v>
      </x:c>
      <x:c r="L11" t="str">
        <x:v>Action, tool, object, grip, contact point, start/end states.</x:v>
      </x:c>
      <x:c r="M11" t="str">
        <x:v>Close-up realistic instructional DIY video: wrap PTFE tape clockwise on shower-arm threads. Show PTFE tape roll working on shower arm threads. Hands visible, stable camera, no text overlay, neutral shop lighting. Action=wrapping; tool=PTFE tape roll; object/material=shower arm threads; show tool-to-object contact; start state, motion, and finished state all visible.</x:v>
      </x:c>
      <x:c r="N11" s="14" t="n">
        <x:v>10</x:v>
      </x:c>
      <x:c r="O11" s="14" t="n">
        <x:v>100023</x:v>
      </x:c>
      <x:c r="P11" t="str">
        <x:v>R-E</x:v>
      </x:c>
      <x:c r="Q11" s="12" t="n">
        <x:v>4.15</x:v>
      </x:c>
      <x:c r="R11" s="12" t="n">
        <x:v>3.99</x:v>
      </x:c>
      <x:c r="S11" s="12" t="n">
        <x:v>4.05</x:v>
      </x:c>
      <x:c r="T11" s="12" t="n">
        <x:v>3.92</x:v>
      </x:c>
      <x:c r="U11" s="12" t="n">
        <x:v>3.85</x:v>
      </x:c>
      <x:c r="V11" s="12" t="n">
        <x:v>3.58</x:v>
      </x:c>
      <x:c r="W11" s="12" t="n">
        <x:f>ROUND((Q11*0.24)+(R11*0.22)+(S11*0.16)+(T11*0.18)+(U11*0.10)+(V11*0.10),2)</x:f>
        <x:v>3.97</x:v>
      </x:c>
      <x:c r="X11" t="str">
        <x:f>IF(W11&gt;=3.55,"Pass","Fail")</x:f>
        <x:v>Pass</x:v>
      </x:c>
      <x:c r="Y11" t="str">
        <x:v>minor continuity jump</x:v>
      </x:c>
      <x:c r="Z11" t="str">
        <x:v>Review note: Looks plausible at first glance. On a second pass, the shower arm threads shifts slightly and the model seems to infer the outcome rather than show the full wrapping. This reads better as a teaser than as an instructional clip. For this plumbing example, the main judgment is still whether the viewer can copy the motion.</x:v>
      </x:c>
      <x:c r="AA11" t="str">
        <x:v>Add a one-sentence end-state requirement: viewer must see the completed wrapping result for one full second.</x:v>
      </x:c>
      <x:c r="AB11" t="str">
        <x:v>High</x:v>
      </x:c>
      <x:c r="AC11" t="str"/>
      <x:c r="AD11" t="str">
        <x:v>Synthetic benchmark entry; generated clip URL should be filled after API run.</x:v>
      </x:c>
    </x:row>
    <x:row r="12">
      <x:c r="A12" t="str">
        <x:v>S002-Pika-STR</x:v>
      </x:c>
      <x:c r="B12" t="str">
        <x:v>S002</x:v>
      </x:c>
      <x:c r="C12" t="str">
        <x:v>Plumbing</x:v>
      </x:c>
      <x:c r="D12" t="str">
        <x:v>pipe sealing</x:v>
      </x:c>
      <x:c r="E12" t="str">
        <x:v>wrapping</x:v>
      </x:c>
      <x:c r="F12" t="n">
        <x:v>2</x:v>
      </x:c>
      <x:c r="G12" t="str">
        <x:v>wrap PTFE tape clockwise on shower-arm threads</x:v>
      </x:c>
      <x:c r="H12" t="str">
        <x:v>PTFE tape roll</x:v>
      </x:c>
      <x:c r="I12" t="str">
        <x:v>shower arm threads</x:v>
      </x:c>
      <x:c r="J12" t="str">
        <x:v>Pika 2.2</x:v>
      </x:c>
      <x:c r="K12" t="str">
        <x:v>Structured Action-Object-Tool</x:v>
      </x:c>
      <x:c r="L12" t="str">
        <x:v>Action, tool, object, grip, contact point, start/end states.</x:v>
      </x:c>
      <x:c r="M12" t="str">
        <x:v>Close-up realistic instructional DIY video: wrap PTFE tape clockwise on shower-arm threads. Show PTFE tape roll working on shower arm threads. Hands visible, stable camera, no text overlay, neutral shop lighting. Action=wrapping; tool=PTFE tape roll; object/material=shower arm threads; show tool-to-object contact; start state, motion, and finished state all visible.</x:v>
      </x:c>
      <x:c r="N12" s="14" t="n">
        <x:v>5</x:v>
      </x:c>
      <x:c r="O12" s="14" t="n">
        <x:v>100024</x:v>
      </x:c>
      <x:c r="P12" t="str">
        <x:v>R-E</x:v>
      </x:c>
      <x:c r="Q12" s="12" t="n">
        <x:v>3.31</x:v>
      </x:c>
      <x:c r="R12" s="12" t="n">
        <x:v>3.68</x:v>
      </x:c>
      <x:c r="S12" s="12" t="n">
        <x:v>3.31</x:v>
      </x:c>
      <x:c r="T12" s="12" t="n">
        <x:v>2.88</x:v>
      </x:c>
      <x:c r="U12" s="12" t="n">
        <x:v>3.63</x:v>
      </x:c>
      <x:c r="V12" s="12" t="n">
        <x:v>3.28</x:v>
      </x:c>
      <x:c r="W12" s="12" t="n">
        <x:f>ROUND((Q12*0.24)+(R12*0.22)+(S12*0.16)+(T12*0.18)+(U12*0.10)+(V12*0.10),2)</x:f>
        <x:v>3.34</x:v>
      </x:c>
      <x:c r="X12" t="str">
        <x:f>IF(W12&gt;=3.55,"Pass","Fail")</x:f>
        <x:v>Fail</x:v>
      </x:c>
      <x:c r="Y12" t="str">
        <x:v>object morphs</x:v>
      </x:c>
      <x:c r="Z12" t="str">
        <x:v>Clip review: The clip looks like generic DIY stock footage rather than this specific step. The main problem is object morphs, and the end state is not verifiable. This reads better as a teaser than as an instructional clip. For this plumbing example, the main judgment is still whether the viewer can copy the motion.</x:v>
      </x:c>
      <x:c r="AA12" t="str">
        <x:v>Move safety language earlier in the prompt and remove cinematic camera instructions.</x:v>
      </x:c>
      <x:c r="AB12" t="str">
        <x:v>High</x:v>
      </x:c>
      <x:c r="AC12" t="str"/>
      <x:c r="AD12" t="str">
        <x:v>Simulated pilot row for planning; replace with blinded ratings after generating actual clips.</x:v>
      </x:c>
    </x:row>
    <x:row r="13">
      <x:c r="A13" t="str">
        <x:v>S002-Vidu-STR</x:v>
      </x:c>
      <x:c r="B13" t="str">
        <x:v>S002</x:v>
      </x:c>
      <x:c r="C13" t="str">
        <x:v>Plumbing</x:v>
      </x:c>
      <x:c r="D13" t="str">
        <x:v>pipe sealing</x:v>
      </x:c>
      <x:c r="E13" t="str">
        <x:v>wrapping</x:v>
      </x:c>
      <x:c r="F13" t="n">
        <x:v>2</x:v>
      </x:c>
      <x:c r="G13" t="str">
        <x:v>wrap PTFE tape clockwise on shower-arm threads</x:v>
      </x:c>
      <x:c r="H13" t="str">
        <x:v>PTFE tape roll</x:v>
      </x:c>
      <x:c r="I13" t="str">
        <x:v>shower arm threads</x:v>
      </x:c>
      <x:c r="J13" t="str">
        <x:v>Vidu 2.0</x:v>
      </x:c>
      <x:c r="K13" t="str">
        <x:v>Structured Action-Object-Tool</x:v>
      </x:c>
      <x:c r="L13" t="str">
        <x:v>Action, tool, object, grip, contact point, start/end states.</x:v>
      </x:c>
      <x:c r="M13" t="str">
        <x:v>Close-up realistic instructional DIY video: wrap PTFE tape clockwise on shower-arm threads. Show PTFE tape roll working on shower arm threads. Hands visible, stable camera, no text overlay, neutral shop lighting. Action=wrapping; tool=PTFE tape roll; object/material=shower arm threads; show tool-to-object contact; start state, motion, and finished state all visible.</x:v>
      </x:c>
      <x:c r="N13" s="14" t="n">
        <x:v>5</x:v>
      </x:c>
      <x:c r="O13" s="14" t="n">
        <x:v>100025</x:v>
      </x:c>
      <x:c r="P13" t="str">
        <x:v>R-C</x:v>
      </x:c>
      <x:c r="Q13" s="12" t="n">
        <x:v>3.34</x:v>
      </x:c>
      <x:c r="R13" s="12" t="n">
        <x:v>3.8</x:v>
      </x:c>
      <x:c r="S13" s="12" t="n">
        <x:v>3.04</x:v>
      </x:c>
      <x:c r="T13" s="12" t="n">
        <x:v>3.87</x:v>
      </x:c>
      <x:c r="U13" s="12" t="n">
        <x:v>3.1</x:v>
      </x:c>
      <x:c r="V13" s="12" t="n">
        <x:v>3.35</x:v>
      </x:c>
      <x:c r="W13" s="12" t="n">
        <x:f>ROUND((Q13*0.24)+(R13*0.22)+(S13*0.16)+(T13*0.18)+(U13*0.10)+(V13*0.10),2)</x:f>
        <x:v>3.47</x:v>
      </x:c>
      <x:c r="X13" t="str">
        <x:f>IF(W13&gt;=3.55,"Pass","Fail")</x:f>
        <x:v>Fail</x:v>
      </x:c>
      <x:c r="Y13" t="str">
        <x:v>tool floats near object</x:v>
      </x:c>
      <x:c r="Z13" t="str">
        <x:v>QA note: This should fail the instructional bar. The model gestures toward the task, but the failure mode prevents a learner from trusting the technique: tool floats near object. On a small preview it might pass, but full-screen review exposes the issue. For this plumbing example, the main judgment is still whether the viewer can copy the motion.</x:v>
      </x:c>
      <x:c r="AA13" t="str">
        <x:v>Move safety language earlier in the prompt and remove cinematic camera instructions.</x:v>
      </x:c>
      <x:c r="AB13" t="str">
        <x:v>High</x:v>
      </x:c>
      <x:c r="AC13" t="str"/>
      <x:c r="AD13" t="str">
        <x:v>Simulated pilot row for planning; replace with blinded ratings after generating actual clips.</x:v>
      </x:c>
    </x:row>
    <x:row r="14">
      <x:c r="A14" t="str">
        <x:v>S003-Veo-MET</x:v>
      </x:c>
      <x:c r="B14" t="str">
        <x:v>S003</x:v>
      </x:c>
      <x:c r="C14" t="str">
        <x:v>Plumbing</x:v>
      </x:c>
      <x:c r="D14" t="str">
        <x:v>drain service</x:v>
      </x:c>
      <x:c r="E14" t="str">
        <x:v>removing</x:v>
      </x:c>
      <x:c r="F14" t="n">
        <x:v>3</x:v>
      </x:c>
      <x:c r="G14" t="str">
        <x:v>remove the P-trap slip nut under a bathroom sink</x:v>
      </x:c>
      <x:c r="H14" t="str">
        <x:v>channel-lock pliers</x:v>
      </x:c>
      <x:c r="I14" t="str">
        <x:v>P-trap, slip nut, bucket</x:v>
      </x:c>
      <x:c r="J14" t="str">
        <x:v>Veo 3.1</x:v>
      </x:c>
      <x:c r="K14" t="str">
        <x:v>Metadata-Enriched</x:v>
      </x:c>
      <x:c r="L14" t="str">
        <x:v>Uses clipDescription, clipSummary, toolNames, suppliesNames, processTechniques, safetyEquipment.</x:v>
      </x:c>
      <x:c r="M14" t="str">
        <x:v>Close-up realistic instructional DIY video: remove the P-trap slip nut under a bathroom sink. Show channel-lock pliers working on P-trap, slip nut, bucket. Hands visible, stable camera, no text overlay, neutral shop lighting. clipDescription='remove the P-trap slip nut under a bathroom sink'. clipSummary='one practical repair step'. toolNames='channel-lock pliers'. suppliesNames='P-trap, slip nut, bucket'. processTechnique='removing'. Safety cue: use normal homeowner precautions and avoid risky shortcuts.</x:v>
      </x:c>
      <x:c r="N14" s="14" t="n">
        <x:v>8</x:v>
      </x:c>
      <x:c r="O14" s="14" t="n">
        <x:v>100030</x:v>
      </x:c>
      <x:c r="P14" t="str">
        <x:v>R-E</x:v>
      </x:c>
      <x:c r="Q14" s="12" t="n">
        <x:v>4.62</x:v>
      </x:c>
      <x:c r="R14" s="12" t="n">
        <x:v>4.7</x:v>
      </x:c>
      <x:c r="S14" s="12" t="n">
        <x:v>3.68</x:v>
      </x:c>
      <x:c r="T14" s="12" t="n">
        <x:v>4.14</x:v>
      </x:c>
      <x:c r="U14" s="12" t="n">
        <x:v>4.45</x:v>
      </x:c>
      <x:c r="V14" s="12" t="n">
        <x:v>3.59</x:v>
      </x:c>
      <x:c r="W14" s="12" t="n">
        <x:f>ROUND((Q14*0.24)+(R14*0.22)+(S14*0.16)+(T14*0.18)+(U14*0.10)+(V14*0.10),2)</x:f>
        <x:v>4.28</x:v>
      </x:c>
      <x:c r="X14" t="str">
        <x:f>IF(W14&gt;=3.55,"Pass","Fail")</x:f>
        <x:v>Pass</x:v>
      </x:c>
      <x:c r="Y14" t="str">
        <x:v>minor continuity jump</x:v>
      </x:c>
      <x:c r="Z14" t="str">
        <x:v>Human check: Best part is the pacing: it gives enough time to understand removing without turning into a beauty shot. Minor issue: slightly staged tool contact. I would keep the same camera angle but ask for a tighter view of the contact point. For this plumbing example, the main judgment is still whether the viewer can copy the motion.</x:v>
      </x:c>
      <x:c r="AA14" t="str">
        <x:v>Add a one-sentence end-state requirement: viewer must see the completed removing result for one full second.</x:v>
      </x:c>
      <x:c r="AB14" t="str">
        <x:v>Medium</x:v>
      </x:c>
      <x:c r="AC14" t="str"/>
      <x:c r="AD14" t="str">
        <x:v>Planning dataset only; scores are plausible placeholders, not vendor claims.</x:v>
      </x:c>
    </x:row>
    <x:row r="15">
      <x:c r="A15" t="str">
        <x:v>S003-Sora-MET</x:v>
      </x:c>
      <x:c r="B15" t="str">
        <x:v>S003</x:v>
      </x:c>
      <x:c r="C15" t="str">
        <x:v>Plumbing</x:v>
      </x:c>
      <x:c r="D15" t="str">
        <x:v>drain service</x:v>
      </x:c>
      <x:c r="E15" t="str">
        <x:v>removing</x:v>
      </x:c>
      <x:c r="F15" t="n">
        <x:v>3</x:v>
      </x:c>
      <x:c r="G15" t="str">
        <x:v>remove the P-trap slip nut under a bathroom sink</x:v>
      </x:c>
      <x:c r="H15" t="str">
        <x:v>channel-lock pliers</x:v>
      </x:c>
      <x:c r="I15" t="str">
        <x:v>P-trap, slip nut, bucket</x:v>
      </x:c>
      <x:c r="J15" t="str">
        <x:v>Sora 2 Pro</x:v>
      </x:c>
      <x:c r="K15" t="str">
        <x:v>Metadata-Enriched</x:v>
      </x:c>
      <x:c r="L15" t="str">
        <x:v>Uses clipDescription, clipSummary, toolNames, suppliesNames, processTechniques, safetyEquipment.</x:v>
      </x:c>
      <x:c r="M15" t="str">
        <x:v>Close-up realistic instructional DIY video: remove the P-trap slip nut under a bathroom sink. Show channel-lock pliers working on P-trap, slip nut, bucket. Hands visible, stable camera, no text overlay, neutral shop lighting. clipDescription='remove the P-trap slip nut under a bathroom sink'. clipSummary='one practical repair step'. toolNames='channel-lock pliers'. suppliesNames='P-trap, slip nut, bucket'. processTechnique='removing'. Safety cue: use normal homeowner precautions and avoid risky shortcuts.</x:v>
      </x:c>
      <x:c r="N15" s="14" t="n">
        <x:v>8</x:v>
      </x:c>
      <x:c r="O15" s="14" t="n">
        <x:v>100031</x:v>
      </x:c>
      <x:c r="P15" t="str">
        <x:v>R-D</x:v>
      </x:c>
      <x:c r="Q15" s="12" t="n">
        <x:v>3.98</x:v>
      </x:c>
      <x:c r="R15" s="12" t="n">
        <x:v>4.24</x:v>
      </x:c>
      <x:c r="S15" s="12" t="n">
        <x:v>4.25</x:v>
      </x:c>
      <x:c r="T15" s="12" t="n">
        <x:v>3.55</x:v>
      </x:c>
      <x:c r="U15" s="12" t="n">
        <x:v>4.12</x:v>
      </x:c>
      <x:c r="V15" s="12" t="n">
        <x:v>4.26</x:v>
      </x:c>
      <x:c r="W15" s="12" t="n">
        <x:f>ROUND((Q15*0.24)+(R15*0.22)+(S15*0.16)+(T15*0.18)+(U15*0.10)+(V15*0.10),2)</x:f>
        <x:v>4.05</x:v>
      </x:c>
      <x:c r="X15" t="str">
        <x:f>IF(W15&gt;=3.55,"Pass","Fail")</x:f>
        <x:v>Pass</x:v>
      </x:c>
      <x:c r="Y15" t="str">
        <x:v>minor continuity jump</x:v>
      </x:c>
      <x:c r="Z15" t="str">
        <x:v>Review note: Usable, but I would not show it without review. The channel-lock pliers is recognizable, yet the exact contact point is hard to see when the hand crosses the frame. The issue is subtle visually, but it matters because the clip is supposed to teach the technique. For this plumbing example, the main judgment is still whether the viewer can copy the motion.</x:v>
      </x:c>
      <x:c r="AA15" t="str">
        <x:v>Break the action into start, contact, movement, and finish; ban extra tools and hand morphing.</x:v>
      </x:c>
      <x:c r="AB15" t="str">
        <x:v>High</x:v>
      </x:c>
      <x:c r="AC15" t="str"/>
      <x:c r="AD15" t="str">
        <x:v>Synthetic benchmark entry; generated clip URL should be filled after API run.</x:v>
      </x:c>
    </x:row>
    <x:row r="16">
      <x:c r="A16" t="str">
        <x:v>S003-Runway-MET</x:v>
      </x:c>
      <x:c r="B16" t="str">
        <x:v>S003</x:v>
      </x:c>
      <x:c r="C16" t="str">
        <x:v>Plumbing</x:v>
      </x:c>
      <x:c r="D16" t="str">
        <x:v>drain service</x:v>
      </x:c>
      <x:c r="E16" t="str">
        <x:v>removing</x:v>
      </x:c>
      <x:c r="F16" t="n">
        <x:v>3</x:v>
      </x:c>
      <x:c r="G16" t="str">
        <x:v>remove the P-trap slip nut under a bathroom sink</x:v>
      </x:c>
      <x:c r="H16" t="str">
        <x:v>channel-lock pliers</x:v>
      </x:c>
      <x:c r="I16" t="str">
        <x:v>P-trap, slip nut, bucket</x:v>
      </x:c>
      <x:c r="J16" t="str">
        <x:v>Runway Gen-4.5</x:v>
      </x:c>
      <x:c r="K16" t="str">
        <x:v>Metadata-Enriched</x:v>
      </x:c>
      <x:c r="L16" t="str">
        <x:v>Uses clipDescription, clipSummary, toolNames, suppliesNames, processTechniques, safetyEquipment.</x:v>
      </x:c>
      <x:c r="M16" t="str">
        <x:v>Close-up realistic instructional DIY video: remove the P-trap slip nut under a bathroom sink. Show channel-lock pliers working on P-trap, slip nut, bucket. Hands visible, stable camera, no text overlay, neutral shop lighting. clipDescription='remove the P-trap slip nut under a bathroom sink'. clipSummary='one practical repair step'. toolNames='channel-lock pliers'. suppliesNames='P-trap, slip nut, bucket'. processTechnique='removing'. Safety cue: use normal homeowner precautions and avoid risky shortcuts.</x:v>
      </x:c>
      <x:c r="N16" s="14" t="n">
        <x:v>5</x:v>
      </x:c>
      <x:c r="O16" s="14" t="n">
        <x:v>100032</x:v>
      </x:c>
      <x:c r="P16" t="str">
        <x:v>R-C</x:v>
      </x:c>
      <x:c r="Q16" s="12" t="n">
        <x:v>3.97</x:v>
      </x:c>
      <x:c r="R16" s="12" t="n">
        <x:v>4.21</x:v>
      </x:c>
      <x:c r="S16" s="12" t="n">
        <x:v>3.5</x:v>
      </x:c>
      <x:c r="T16" s="12" t="n">
        <x:v>3.93</x:v>
      </x:c>
      <x:c r="U16" s="12" t="n">
        <x:v>4.19</x:v>
      </x:c>
      <x:c r="V16" s="12" t="n">
        <x:v>3.95</x:v>
      </x:c>
      <x:c r="W16" s="12" t="n">
        <x:f>ROUND((Q16*0.24)+(R16*0.22)+(S16*0.16)+(T16*0.18)+(U16*0.10)+(V16*0.10),2)</x:f>
        <x:v>3.96</x:v>
      </x:c>
      <x:c r="X16" t="str">
        <x:f>IF(W16&gt;=3.55,"Pass","Fail")</x:f>
        <x:v>Pass</x:v>
      </x:c>
      <x:c r="Y16" t="str">
        <x:v>contact point hidden</x:v>
      </x:c>
      <x:c r="Z16" t="str">
        <x:v>Review note: I would keep this as a rough candidate. It communicates the step, although the failure mode makes it weaker than a real sourced clip: contact point hidden. The tool silhouette is acceptable; the mechanics are the weak part. For this plumbing example, the main judgment is still whether the viewer can copy the motion.</x:v>
      </x:c>
      <x:c r="AA16" t="str">
        <x:v>Ask for a static close-up and require the channel-lock pliers to touch the P-trap, slip nut, bucket before any motion starts.</x:v>
      </x:c>
      <x:c r="AB16" t="str">
        <x:v>High</x:v>
      </x:c>
      <x:c r="AC16" t="str"/>
      <x:c r="AD16" t="str">
        <x:v>Planning dataset only; scores are plausible placeholders, not vendor claims.</x:v>
      </x:c>
    </x:row>
    <x:row r="17">
      <x:c r="A17" t="str">
        <x:v>S003-Kling-MET</x:v>
      </x:c>
      <x:c r="B17" t="str">
        <x:v>S003</x:v>
      </x:c>
      <x:c r="C17" t="str">
        <x:v>Plumbing</x:v>
      </x:c>
      <x:c r="D17" t="str">
        <x:v>drain service</x:v>
      </x:c>
      <x:c r="E17" t="str">
        <x:v>removing</x:v>
      </x:c>
      <x:c r="F17" t="n">
        <x:v>3</x:v>
      </x:c>
      <x:c r="G17" t="str">
        <x:v>remove the P-trap slip nut under a bathroom sink</x:v>
      </x:c>
      <x:c r="H17" t="str">
        <x:v>channel-lock pliers</x:v>
      </x:c>
      <x:c r="I17" t="str">
        <x:v>P-trap, slip nut, bucket</x:v>
      </x:c>
      <x:c r="J17" t="str">
        <x:v>Kling v3.0 (Replicate)</x:v>
      </x:c>
      <x:c r="K17" t="str">
        <x:v>Metadata-Enriched</x:v>
      </x:c>
      <x:c r="L17" t="str">
        <x:v>Uses clipDescription, clipSummary, toolNames, suppliesNames, processTechniques, safetyEquipment.</x:v>
      </x:c>
      <x:c r="M17" t="str">
        <x:v>Close-up realistic instructional DIY video: remove the P-trap slip nut under a bathroom sink. Show channel-lock pliers working on P-trap, slip nut, bucket. Hands visible, stable camera, no text overlay, neutral shop lighting. clipDescription='remove the P-trap slip nut under a bathroom sink'. clipSummary='one practical repair step'. toolNames='channel-lock pliers'. suppliesNames='P-trap, slip nut, bucket'. processTechnique='removing'. Safety cue: use normal homeowner precautions and avoid risky shortcuts.</x:v>
      </x:c>
      <x:c r="N17" s="14" t="n">
        <x:v>10</x:v>
      </x:c>
      <x:c r="O17" s="14" t="n">
        <x:v>100033</x:v>
      </x:c>
      <x:c r="P17" t="str">
        <x:v>R-E</x:v>
      </x:c>
      <x:c r="Q17" s="12" t="n">
        <x:v>3.73</x:v>
      </x:c>
      <x:c r="R17" s="12" t="n">
        <x:v>3.65</x:v>
      </x:c>
      <x:c r="S17" s="12" t="n">
        <x:v>4.13</x:v>
      </x:c>
      <x:c r="T17" s="12" t="n">
        <x:v>3.68</x:v>
      </x:c>
      <x:c r="U17" s="12" t="n">
        <x:v>3.57</x:v>
      </x:c>
      <x:c r="V17" s="12" t="n">
        <x:v>3.76</x:v>
      </x:c>
      <x:c r="W17" s="12" t="n">
        <x:f>ROUND((Q17*0.24)+(R17*0.22)+(S17*0.16)+(T17*0.18)+(U17*0.10)+(V17*0.10),2)</x:f>
        <x:v>3.75</x:v>
      </x:c>
      <x:c r="X17" t="str">
        <x:f>IF(W17&gt;=3.55,"Pass","Fail")</x:f>
        <x:v>Pass</x:v>
      </x:c>
      <x:c r="Y17" t="str">
        <x:v>tool pose a little soft</x:v>
      </x:c>
      <x:c r="Z17" t="str">
        <x:v>QA note: The intention is clear, especially if you already know the step. A novice might miss the key detail because this issue appears right where the action should be most explicit: tool pose a little soft. The tool silhouette is acceptable; the mechanics are the weak part. For this plumbing example, the main judgment is still whether the viewer can copy the motion.</x:v>
      </x:c>
      <x:c r="AA17" t="str">
        <x:v>Move safety language earlier in the prompt and remove cinematic camera instructions.</x:v>
      </x:c>
      <x:c r="AB17" t="str">
        <x:v>Medium</x:v>
      </x:c>
      <x:c r="AC17" t="str"/>
      <x:c r="AD17" t="str">
        <x:v>Planning dataset only; scores are plausible placeholders, not vendor claims.</x:v>
      </x:c>
    </x:row>
    <x:row r="18">
      <x:c r="A18" t="str">
        <x:v>S003-Pika-MET</x:v>
      </x:c>
      <x:c r="B18" t="str">
        <x:v>S003</x:v>
      </x:c>
      <x:c r="C18" t="str">
        <x:v>Plumbing</x:v>
      </x:c>
      <x:c r="D18" t="str">
        <x:v>drain service</x:v>
      </x:c>
      <x:c r="E18" t="str">
        <x:v>removing</x:v>
      </x:c>
      <x:c r="F18" t="n">
        <x:v>3</x:v>
      </x:c>
      <x:c r="G18" t="str">
        <x:v>remove the P-trap slip nut under a bathroom sink</x:v>
      </x:c>
      <x:c r="H18" t="str">
        <x:v>channel-lock pliers</x:v>
      </x:c>
      <x:c r="I18" t="str">
        <x:v>P-trap, slip nut, bucket</x:v>
      </x:c>
      <x:c r="J18" t="str">
        <x:v>Pika 2.2</x:v>
      </x:c>
      <x:c r="K18" t="str">
        <x:v>Metadata-Enriched</x:v>
      </x:c>
      <x:c r="L18" t="str">
        <x:v>Uses clipDescription, clipSummary, toolNames, suppliesNames, processTechniques, safetyEquipment.</x:v>
      </x:c>
      <x:c r="M18" t="str">
        <x:v>Close-up realistic instructional DIY video: remove the P-trap slip nut under a bathroom sink. Show channel-lock pliers working on P-trap, slip nut, bucket. Hands visible, stable camera, no text overlay, neutral shop lighting. clipDescription='remove the P-trap slip nut under a bathroom sink'. clipSummary='one practical repair step'. toolNames='channel-lock pliers'. suppliesNames='P-trap, slip nut, bucket'. processTechnique='removing'. Safety cue: use normal homeowner precautions and avoid risky shortcuts.</x:v>
      </x:c>
      <x:c r="N18" s="14" t="n">
        <x:v>5</x:v>
      </x:c>
      <x:c r="O18" s="14" t="n">
        <x:v>100034</x:v>
      </x:c>
      <x:c r="P18" t="str">
        <x:v>R-A</x:v>
      </x:c>
      <x:c r="Q18" s="12" t="n">
        <x:v>3.69</x:v>
      </x:c>
      <x:c r="R18" s="12" t="n">
        <x:v>3.37</x:v>
      </x:c>
      <x:c r="S18" s="12" t="n">
        <x:v>3.41</x:v>
      </x:c>
      <x:c r="T18" s="12" t="n">
        <x:v>3.76</x:v>
      </x:c>
      <x:c r="U18" s="12" t="n">
        <x:v>4.18</x:v>
      </x:c>
      <x:c r="V18" s="12" t="n">
        <x:v>3.18</x:v>
      </x:c>
      <x:c r="W18" s="12" t="n">
        <x:f>ROUND((Q18*0.24)+(R18*0.22)+(S18*0.16)+(T18*0.18)+(U18*0.10)+(V18*0.10),2)</x:f>
        <x:v>3.59</x:v>
      </x:c>
      <x:c r="X18" t="str">
        <x:f>IF(W18&gt;=3.55,"Pass","Fail")</x:f>
        <x:v>Pass</x:v>
      </x:c>
      <x:c r="Y18" t="str">
        <x:v>force/torque reads wrong</x:v>
      </x:c>
      <x:c r="Z18" t="str">
        <x:v>Human check: I would keep this as a rough candidate. It communicates the step, although the failure mode makes it weaker than a real sourced clip: force/torque reads wrong. The prompt should prioritize hand path over cinematic lighting. For this plumbing example, the main judgment is still whether the viewer can copy the motion.</x:v>
      </x:c>
      <x:c r="AA18" t="str">
        <x:v>Add a one-sentence end-state requirement: viewer must see the completed removing result for one full second.</x:v>
      </x:c>
      <x:c r="AB18" t="str">
        <x:v>Medium-High</x:v>
      </x:c>
      <x:c r="AC18" t="str"/>
      <x:c r="AD18" t="str">
        <x:v>Synthetic benchmark entry; generated clip URL should be filled after API run.</x:v>
      </x:c>
    </x:row>
    <x:row r="19">
      <x:c r="A19" t="str">
        <x:v>S003-Vidu-MET</x:v>
      </x:c>
      <x:c r="B19" t="str">
        <x:v>S003</x:v>
      </x:c>
      <x:c r="C19" t="str">
        <x:v>Plumbing</x:v>
      </x:c>
      <x:c r="D19" t="str">
        <x:v>drain service</x:v>
      </x:c>
      <x:c r="E19" t="str">
        <x:v>removing</x:v>
      </x:c>
      <x:c r="F19" t="n">
        <x:v>3</x:v>
      </x:c>
      <x:c r="G19" t="str">
        <x:v>remove the P-trap slip nut under a bathroom sink</x:v>
      </x:c>
      <x:c r="H19" t="str">
        <x:v>channel-lock pliers</x:v>
      </x:c>
      <x:c r="I19" t="str">
        <x:v>P-trap, slip nut, bucket</x:v>
      </x:c>
      <x:c r="J19" t="str">
        <x:v>Vidu 2.0</x:v>
      </x:c>
      <x:c r="K19" t="str">
        <x:v>Metadata-Enriched</x:v>
      </x:c>
      <x:c r="L19" t="str">
        <x:v>Uses clipDescription, clipSummary, toolNames, suppliesNames, processTechniques, safetyEquipment.</x:v>
      </x:c>
      <x:c r="M19" t="str">
        <x:v>Close-up realistic instructional DIY video: remove the P-trap slip nut under a bathroom sink. Show channel-lock pliers working on P-trap, slip nut, bucket. Hands visible, stable camera, no text overlay, neutral shop lighting. clipDescription='remove the P-trap slip nut under a bathroom sink'. clipSummary='one practical repair step'. toolNames='channel-lock pliers'. suppliesNames='P-trap, slip nut, bucket'. processTechnique='removing'. Safety cue: use normal homeowner precautions and avoid risky shortcuts.</x:v>
      </x:c>
      <x:c r="N19" s="14" t="n">
        <x:v>5</x:v>
      </x:c>
      <x:c r="O19" s="14" t="n">
        <x:v>100035</x:v>
      </x:c>
      <x:c r="P19" t="str">
        <x:v>R-A</x:v>
      </x:c>
      <x:c r="Q19" s="12" t="n">
        <x:v>3.16</x:v>
      </x:c>
      <x:c r="R19" s="12" t="n">
        <x:v>3</x:v>
      </x:c>
      <x:c r="S19" s="12" t="n">
        <x:v>3.48</x:v>
      </x:c>
      <x:c r="T19" s="12" t="n">
        <x:v>3.39</x:v>
      </x:c>
      <x:c r="U19" s="12" t="n">
        <x:v>3.57</x:v>
      </x:c>
      <x:c r="V19" s="12" t="n">
        <x:v>3.26</x:v>
      </x:c>
      <x:c r="W19" s="12" t="n">
        <x:f>ROUND((Q19*0.24)+(R19*0.22)+(S19*0.16)+(T19*0.18)+(U19*0.10)+(V19*0.10),2)</x:f>
        <x:v>3.27</x:v>
      </x:c>
      <x:c r="X19" t="str">
        <x:f>IF(W19&gt;=3.55,"Pass","Fail")</x:f>
        <x:v>Fail</x:v>
      </x:c>
      <x:c r="Y19" t="str">
        <x:v>thread direction unclear</x:v>
      </x:c>
      <x:c r="Z19" t="str">
        <x:v>Clip review: The clip looks like generic DIY stock footage rather than this specific step. The main problem is thread direction unclear, and the end state is not verifiable. I would keep the same camera angle but ask for a tighter view of the contact point. For this plumbing example, the main judgment is still whether the viewer can copy the motion.</x:v>
      </x:c>
      <x:c r="AA19" t="str">
        <x:v>Add a one-sentence end-state requirement: viewer must see the completed removing result for one full second.</x:v>
      </x:c>
      <x:c r="AB19" t="str">
        <x:v>Medium</x:v>
      </x:c>
      <x:c r="AC19" t="str"/>
      <x:c r="AD19" t="str">
        <x:v>Mock rater record for experiment design; audit against real video outputs before publication.</x:v>
      </x:c>
    </x:row>
    <x:row r="20">
      <x:c r="A20" t="str">
        <x:v>S004-Veo-REF</x:v>
      </x:c>
      <x:c r="B20" t="str">
        <x:v>S004</x:v>
      </x:c>
      <x:c r="C20" t="str">
        <x:v>Plumbing</x:v>
      </x:c>
      <x:c r="D20" t="str">
        <x:v>supply line</x:v>
      </x:c>
      <x:c r="E20" t="str">
        <x:v>connecting</x:v>
      </x:c>
      <x:c r="F20" t="n">
        <x:v>3</x:v>
      </x:c>
      <x:c r="G20" t="str">
        <x:v>hand-tighten a braided supply line onto a stop valve</x:v>
      </x:c>
      <x:c r="H20" t="str">
        <x:v>braided supply hose</x:v>
      </x:c>
      <x:c r="I20" t="str">
        <x:v>angle stop valve</x:v>
      </x:c>
      <x:c r="J20" t="str">
        <x:v>Veo 3.1</x:v>
      </x:c>
      <x:c r="K20" t="str">
        <x:v>Reference-Guided</x:v>
      </x:c>
      <x:c r="L20" t="str">
        <x:v>Adds reference-tool/image cue and brand-agnostic visual constraints.</x:v>
      </x:c>
      <x:c r="M20" t="str">
        <x:v>Close-up realistic instructional DIY video: hand-tighten a braided supply line onto a stop valve. Show braided supply hose working on angle stop valve. Hands visible, stable camera, no text overlay, neutral shop lighting. Use a generic, brand-agnostic visual reference for the braided supply hose; preserve the tool shape and scale; the braided supply hose must remain in contact with angle stop valve during the key motion.</x:v>
      </x:c>
      <x:c r="N20" s="14" t="n">
        <x:v>8</x:v>
      </x:c>
      <x:c r="O20" s="14" t="n">
        <x:v>100040</x:v>
      </x:c>
      <x:c r="P20" t="str">
        <x:v>R-E</x:v>
      </x:c>
      <x:c r="Q20" s="12" t="n">
        <x:v>4.17</x:v>
      </x:c>
      <x:c r="R20" s="12" t="n">
        <x:v>4.22</x:v>
      </x:c>
      <x:c r="S20" s="12" t="n">
        <x:v>4.7</x:v>
      </x:c>
      <x:c r="T20" s="12" t="n">
        <x:v>3.27</x:v>
      </x:c>
      <x:c r="U20" s="12" t="n">
        <x:v>3.85</x:v>
      </x:c>
      <x:c r="V20" s="12" t="n">
        <x:v>4.26</x:v>
      </x:c>
      <x:c r="W20" s="12" t="n">
        <x:f>ROUND((Q20*0.24)+(R20*0.22)+(S20*0.16)+(T20*0.18)+(U20*0.10)+(V20*0.10),2)</x:f>
        <x:v>4.08</x:v>
      </x:c>
      <x:c r="X20" t="str">
        <x:f>IF(W20&gt;=3.55,"Pass","Fail")</x:f>
        <x:v>Pass</x:v>
      </x:c>
      <x:c r="Y20" t="str">
        <x:v>contact point hidden</x:v>
      </x:c>
      <x:c r="Z20" t="str">
        <x:v>Clip review: The clip has the right ingredients but not quite the right mechanics. It needs a tighter prompt about grip, contact, and the end position. The clip needs a verifier pass before it can enter the training pool. For this plumbing example, the main judgment is still whether the viewer can copy the motion.</x:v>
      </x:c>
      <x:c r="AA20" t="str">
        <x:v>Use a reference image for the braided supply hose and specify its grip/orientation in plain language.</x:v>
      </x:c>
      <x:c r="AB20" t="str">
        <x:v>High</x:v>
      </x:c>
      <x:c r="AC20" t="str"/>
      <x:c r="AD20" t="str">
        <x:v>Synthetic benchmark entry; generated clip URL should be filled after API run.</x:v>
      </x:c>
    </x:row>
    <x:row r="21">
      <x:c r="A21" t="str">
        <x:v>S004-Sora-REF</x:v>
      </x:c>
      <x:c r="B21" t="str">
        <x:v>S004</x:v>
      </x:c>
      <x:c r="C21" t="str">
        <x:v>Plumbing</x:v>
      </x:c>
      <x:c r="D21" t="str">
        <x:v>supply line</x:v>
      </x:c>
      <x:c r="E21" t="str">
        <x:v>connecting</x:v>
      </x:c>
      <x:c r="F21" t="n">
        <x:v>3</x:v>
      </x:c>
      <x:c r="G21" t="str">
        <x:v>hand-tighten a braided supply line onto a stop valve</x:v>
      </x:c>
      <x:c r="H21" t="str">
        <x:v>braided supply hose</x:v>
      </x:c>
      <x:c r="I21" t="str">
        <x:v>angle stop valve</x:v>
      </x:c>
      <x:c r="J21" t="str">
        <x:v>Sora 2 Pro</x:v>
      </x:c>
      <x:c r="K21" t="str">
        <x:v>Reference-Guided</x:v>
      </x:c>
      <x:c r="L21" t="str">
        <x:v>Adds reference-tool/image cue and brand-agnostic visual constraints.</x:v>
      </x:c>
      <x:c r="M21" t="str">
        <x:v>Close-up realistic instructional DIY video: hand-tighten a braided supply line onto a stop valve. Show braided supply hose working on angle stop valve. Hands visible, stable camera, no text overlay, neutral shop lighting. Use a generic, brand-agnostic visual reference for the braided supply hose; preserve the tool shape and scale; the braided supply hose must remain in contact with angle stop valve during the key motion.</x:v>
      </x:c>
      <x:c r="N21" s="14" t="n">
        <x:v>8</x:v>
      </x:c>
      <x:c r="O21" s="14" t="n">
        <x:v>100041</x:v>
      </x:c>
      <x:c r="P21" t="str">
        <x:v>R-E</x:v>
      </x:c>
      <x:c r="Q21" s="12" t="n">
        <x:v>4.02</x:v>
      </x:c>
      <x:c r="R21" s="12" t="n">
        <x:v>4.1</x:v>
      </x:c>
      <x:c r="S21" s="12" t="n">
        <x:v>4.08</x:v>
      </x:c>
      <x:c r="T21" s="12" t="n">
        <x:v>4.61</x:v>
      </x:c>
      <x:c r="U21" s="12" t="n">
        <x:v>3.7</x:v>
      </x:c>
      <x:c r="V21" s="12" t="n">
        <x:v>4.02</x:v>
      </x:c>
      <x:c r="W21" s="12" t="n">
        <x:f>ROUND((Q21*0.24)+(R21*0.22)+(S21*0.16)+(T21*0.18)+(U21*0.10)+(V21*0.10),2)</x:f>
        <x:v>4.12</x:v>
      </x:c>
      <x:c r="X21" t="str">
        <x:f>IF(W21&gt;=3.55,"Pass","Fail")</x:f>
        <x:v>Pass</x:v>
      </x:c>
      <x:c r="Y21" t="str">
        <x:v>motion slightly compressed</x:v>
      </x:c>
      <x:c r="Z21" t="str">
        <x:v>Review note: I would keep this as a rough candidate. It communicates the step, although the failure mode makes it weaker than a real sourced clip: motion slightly compressed. The issue is subtle visually, but it matters because the clip is supposed to teach the technique. For this plumbing example, the main judgment is still whether the viewer can copy the motion.</x:v>
      </x:c>
      <x:c r="AA21" t="str">
        <x:v>Ask for a static close-up and require the braided supply hose to touch the angle stop valve before any motion starts.</x:v>
      </x:c>
      <x:c r="AB21" t="str">
        <x:v>High</x:v>
      </x:c>
      <x:c r="AC21" t="str"/>
      <x:c r="AD21" t="str">
        <x:v>Simulated pilot row for planning; replace with blinded ratings after generating actual clips.</x:v>
      </x:c>
    </x:row>
    <x:row r="22">
      <x:c r="A22" t="str">
        <x:v>S004-Runway-REF</x:v>
      </x:c>
      <x:c r="B22" t="str">
        <x:v>S004</x:v>
      </x:c>
      <x:c r="C22" t="str">
        <x:v>Plumbing</x:v>
      </x:c>
      <x:c r="D22" t="str">
        <x:v>supply line</x:v>
      </x:c>
      <x:c r="E22" t="str">
        <x:v>connecting</x:v>
      </x:c>
      <x:c r="F22" t="n">
        <x:v>3</x:v>
      </x:c>
      <x:c r="G22" t="str">
        <x:v>hand-tighten a braided supply line onto a stop valve</x:v>
      </x:c>
      <x:c r="H22" t="str">
        <x:v>braided supply hose</x:v>
      </x:c>
      <x:c r="I22" t="str">
        <x:v>angle stop valve</x:v>
      </x:c>
      <x:c r="J22" t="str">
        <x:v>Runway Gen-4.5</x:v>
      </x:c>
      <x:c r="K22" t="str">
        <x:v>Reference-Guided</x:v>
      </x:c>
      <x:c r="L22" t="str">
        <x:v>Adds reference-tool/image cue and brand-agnostic visual constraints.</x:v>
      </x:c>
      <x:c r="M22" t="str">
        <x:v>Close-up realistic instructional DIY video: hand-tighten a braided supply line onto a stop valve. Show braided supply hose working on angle stop valve. Hands visible, stable camera, no text overlay, neutral shop lighting. Use a generic, brand-agnostic visual reference for the braided supply hose; preserve the tool shape and scale; the braided supply hose must remain in contact with angle stop valve during the key motion.</x:v>
      </x:c>
      <x:c r="N22" s="14" t="n">
        <x:v>5</x:v>
      </x:c>
      <x:c r="O22" s="14" t="n">
        <x:v>100042</x:v>
      </x:c>
      <x:c r="P22" t="str">
        <x:v>R-B</x:v>
      </x:c>
      <x:c r="Q22" s="12" t="n">
        <x:v>3.94</x:v>
      </x:c>
      <x:c r="R22" s="12" t="n">
        <x:v>3.71</x:v>
      </x:c>
      <x:c r="S22" s="12" t="n">
        <x:v>4.17</x:v>
      </x:c>
      <x:c r="T22" s="12" t="n">
        <x:v>4.07</x:v>
      </x:c>
      <x:c r="U22" s="12" t="n">
        <x:v>3.61</x:v>
      </x:c>
      <x:c r="V22" s="12" t="n">
        <x:v>3.99</x:v>
      </x:c>
      <x:c r="W22" s="12" t="n">
        <x:f>ROUND((Q22*0.24)+(R22*0.22)+(S22*0.16)+(T22*0.18)+(U22*0.10)+(V22*0.10),2)</x:f>
        <x:v>3.92</x:v>
      </x:c>
      <x:c r="X22" t="str">
        <x:f>IF(W22&gt;=3.55,"Pass","Fail")</x:f>
        <x:v>Pass</x:v>
      </x:c>
      <x:c r="Y22" t="str">
        <x:v>contact point hidden</x:v>
      </x:c>
      <x:c r="Z22" t="str">
        <x:v>QA note: Usable, but I would not show it without review. The braided supply hose is recognizable, yet the exact contact point is hard to see when the hand crosses the frame. This reads better as a teaser than as an instructional clip. For this plumbing example, the main judgment is still whether the viewer can copy the motion.</x:v>
      </x:c>
      <x:c r="AA22" t="str">
        <x:v>Move safety language earlier in the prompt and remove cinematic camera instructions.</x:v>
      </x:c>
      <x:c r="AB22" t="str">
        <x:v>Medium-High</x:v>
      </x:c>
      <x:c r="AC22" t="str"/>
      <x:c r="AD22" t="str">
        <x:v>Planning dataset only; scores are plausible placeholders, not vendor claims.</x:v>
      </x:c>
    </x:row>
    <x:row r="23">
      <x:c r="A23" t="str">
        <x:v>S004-Kling-REF</x:v>
      </x:c>
      <x:c r="B23" t="str">
        <x:v>S004</x:v>
      </x:c>
      <x:c r="C23" t="str">
        <x:v>Plumbing</x:v>
      </x:c>
      <x:c r="D23" t="str">
        <x:v>supply line</x:v>
      </x:c>
      <x:c r="E23" t="str">
        <x:v>connecting</x:v>
      </x:c>
      <x:c r="F23" t="n">
        <x:v>3</x:v>
      </x:c>
      <x:c r="G23" t="str">
        <x:v>hand-tighten a braided supply line onto a stop valve</x:v>
      </x:c>
      <x:c r="H23" t="str">
        <x:v>braided supply hose</x:v>
      </x:c>
      <x:c r="I23" t="str">
        <x:v>angle stop valve</x:v>
      </x:c>
      <x:c r="J23" t="str">
        <x:v>Kling v3.0 (Replicate)</x:v>
      </x:c>
      <x:c r="K23" t="str">
        <x:v>Reference-Guided</x:v>
      </x:c>
      <x:c r="L23" t="str">
        <x:v>Adds reference-tool/image cue and brand-agnostic visual constraints.</x:v>
      </x:c>
      <x:c r="M23" t="str">
        <x:v>Close-up realistic instructional DIY video: hand-tighten a braided supply line onto a stop valve. Show braided supply hose working on angle stop valve. Hands visible, stable camera, no text overlay, neutral shop lighting. Use a generic, brand-agnostic visual reference for the braided supply hose; preserve the tool shape and scale; the braided supply hose must remain in contact with angle stop valve during the key motion.</x:v>
      </x:c>
      <x:c r="N23" s="14" t="n">
        <x:v>10</x:v>
      </x:c>
      <x:c r="O23" s="14" t="n">
        <x:v>100043</x:v>
      </x:c>
      <x:c r="P23" t="str">
        <x:v>R-B</x:v>
      </x:c>
      <x:c r="Q23" s="12" t="n">
        <x:v>3.41</x:v>
      </x:c>
      <x:c r="R23" s="12" t="n">
        <x:v>3.69</x:v>
      </x:c>
      <x:c r="S23" s="12" t="n">
        <x:v>3.45</x:v>
      </x:c>
      <x:c r="T23" s="12" t="n">
        <x:v>3.88</x:v>
      </x:c>
      <x:c r="U23" s="12" t="n">
        <x:v>2.97</x:v>
      </x:c>
      <x:c r="V23" s="12" t="n">
        <x:v>3.82</x:v>
      </x:c>
      <x:c r="W23" s="12" t="n">
        <x:f>ROUND((Q23*0.24)+(R23*0.22)+(S23*0.16)+(T23*0.18)+(U23*0.10)+(V23*0.10),2)</x:f>
        <x:v>3.56</x:v>
      </x:c>
      <x:c r="X23" t="str">
        <x:f>IF(W23&gt;=3.55,"Pass","Fail")</x:f>
        <x:v>Pass</x:v>
      </x:c>
      <x:c r="Y23" t="str">
        <x:v>wrong grip on tool</x:v>
      </x:c>
      <x:c r="Z23" t="str">
        <x:v>Human check: The intention is clear, especially if you already know the step. A novice might miss the key detail because this issue appears right where the action should be most explicit: wrong grip on tool. This reads better as a teaser than as an instructional clip. For this plumbing example, the main judgment is still whether the viewer can copy the motion.</x:v>
      </x:c>
      <x:c r="AA23" t="str">
        <x:v>Use a reference image for the braided supply hose and specify its grip/orientation in plain language.</x:v>
      </x:c>
      <x:c r="AB23" t="str">
        <x:v>High</x:v>
      </x:c>
      <x:c r="AC23" t="str"/>
      <x:c r="AD23" t="str">
        <x:v>Planning dataset only; scores are plausible placeholders, not vendor claims.</x:v>
      </x:c>
    </x:row>
    <x:row r="24">
      <x:c r="A24" t="str">
        <x:v>S004-Pika-REF</x:v>
      </x:c>
      <x:c r="B24" t="str">
        <x:v>S004</x:v>
      </x:c>
      <x:c r="C24" t="str">
        <x:v>Plumbing</x:v>
      </x:c>
      <x:c r="D24" t="str">
        <x:v>supply line</x:v>
      </x:c>
      <x:c r="E24" t="str">
        <x:v>connecting</x:v>
      </x:c>
      <x:c r="F24" t="n">
        <x:v>3</x:v>
      </x:c>
      <x:c r="G24" t="str">
        <x:v>hand-tighten a braided supply line onto a stop valve</x:v>
      </x:c>
      <x:c r="H24" t="str">
        <x:v>braided supply hose</x:v>
      </x:c>
      <x:c r="I24" t="str">
        <x:v>angle stop valve</x:v>
      </x:c>
      <x:c r="J24" t="str">
        <x:v>Pika 2.2</x:v>
      </x:c>
      <x:c r="K24" t="str">
        <x:v>Reference-Guided</x:v>
      </x:c>
      <x:c r="L24" t="str">
        <x:v>Adds reference-tool/image cue and brand-agnostic visual constraints.</x:v>
      </x:c>
      <x:c r="M24" t="str">
        <x:v>Close-up realistic instructional DIY video: hand-tighten a braided supply line onto a stop valve. Show braided supply hose working on angle stop valve. Hands visible, stable camera, no text overlay, neutral shop lighting. Use a generic, brand-agnostic visual reference for the braided supply hose; preserve the tool shape and scale; the braided supply hose must remain in contact with angle stop valve during the key motion.</x:v>
      </x:c>
      <x:c r="N24" s="14" t="n">
        <x:v>5</x:v>
      </x:c>
      <x:c r="O24" s="14" t="n">
        <x:v>100044</x:v>
      </x:c>
      <x:c r="P24" t="str">
        <x:v>R-D</x:v>
      </x:c>
      <x:c r="Q24" s="12" t="n">
        <x:v>3.42</x:v>
      </x:c>
      <x:c r="R24" s="12" t="n">
        <x:v>3.41</x:v>
      </x:c>
      <x:c r="S24" s="12" t="n">
        <x:v>3.73</x:v>
      </x:c>
      <x:c r="T24" s="12" t="n">
        <x:v>3.01</x:v>
      </x:c>
      <x:c r="U24" s="12" t="n">
        <x:v>3.62</x:v>
      </x:c>
      <x:c r="V24" s="12" t="n">
        <x:v>3.5</x:v>
      </x:c>
      <x:c r="W24" s="12" t="n">
        <x:f>ROUND((Q24*0.24)+(R24*0.22)+(S24*0.16)+(T24*0.18)+(U24*0.10)+(V24*0.10),2)</x:f>
        <x:v>3.42</x:v>
      </x:c>
      <x:c r="X24" t="str">
        <x:f>IF(W24&gt;=3.55,"Pass","Fail")</x:f>
        <x:v>Fail</x:v>
      </x:c>
      <x:c r="Y24" t="str">
        <x:v>wrong grip on tool</x:v>
      </x:c>
      <x:c r="Z24" t="str">
        <x:v>QA note: This should fail the instructional bar. The model gestures toward the task, but the failure mode prevents a learner from trusting the technique: wrong grip on tool. The prompt should prioritize hand path over cinematic lighting. For this plumbing example, the main judgment is still whether the viewer can copy the motion.</x:v>
      </x:c>
      <x:c r="AA24" t="str">
        <x:v>Add a one-sentence end-state requirement: viewer must see the completed connecting result for one full second.</x:v>
      </x:c>
      <x:c r="AB24" t="str">
        <x:v>Medium-High</x:v>
      </x:c>
      <x:c r="AC24" t="str"/>
      <x:c r="AD24" t="str">
        <x:v>Simulated pilot row for planning; replace with blinded ratings after generating actual clips.</x:v>
      </x:c>
    </x:row>
    <x:row r="25">
      <x:c r="A25" t="str">
        <x:v>S004-Vidu-REF</x:v>
      </x:c>
      <x:c r="B25" t="str">
        <x:v>S004</x:v>
      </x:c>
      <x:c r="C25" t="str">
        <x:v>Plumbing</x:v>
      </x:c>
      <x:c r="D25" t="str">
        <x:v>supply line</x:v>
      </x:c>
      <x:c r="E25" t="str">
        <x:v>connecting</x:v>
      </x:c>
      <x:c r="F25" t="n">
        <x:v>3</x:v>
      </x:c>
      <x:c r="G25" t="str">
        <x:v>hand-tighten a braided supply line onto a stop valve</x:v>
      </x:c>
      <x:c r="H25" t="str">
        <x:v>braided supply hose</x:v>
      </x:c>
      <x:c r="I25" t="str">
        <x:v>angle stop valve</x:v>
      </x:c>
      <x:c r="J25" t="str">
        <x:v>Vidu 2.0</x:v>
      </x:c>
      <x:c r="K25" t="str">
        <x:v>Reference-Guided</x:v>
      </x:c>
      <x:c r="L25" t="str">
        <x:v>Adds reference-tool/image cue and brand-agnostic visual constraints.</x:v>
      </x:c>
      <x:c r="M25" t="str">
        <x:v>Close-up realistic instructional DIY video: hand-tighten a braided supply line onto a stop valve. Show braided supply hose working on angle stop valve. Hands visible, stable camera, no text overlay, neutral shop lighting. Use a generic, brand-agnostic visual reference for the braided supply hose; preserve the tool shape and scale; the braided supply hose must remain in contact with angle stop valve during the key motion.</x:v>
      </x:c>
      <x:c r="N25" s="14" t="n">
        <x:v>5</x:v>
      </x:c>
      <x:c r="O25" s="14" t="n">
        <x:v>100045</x:v>
      </x:c>
      <x:c r="P25" t="str">
        <x:v>R-C</x:v>
      </x:c>
      <x:c r="Q25" s="12" t="n">
        <x:v>3.23</x:v>
      </x:c>
      <x:c r="R25" s="12" t="n">
        <x:v>3.53</x:v>
      </x:c>
      <x:c r="S25" s="12" t="n">
        <x:v>3.22</x:v>
      </x:c>
      <x:c r="T25" s="12" t="n">
        <x:v>3.19</x:v>
      </x:c>
      <x:c r="U25" s="12" t="n">
        <x:v>3.23</x:v>
      </x:c>
      <x:c r="V25" s="12" t="n">
        <x:v>3.04</x:v>
      </x:c>
      <x:c r="W25" s="12" t="n">
        <x:f>ROUND((Q25*0.24)+(R25*0.22)+(S25*0.16)+(T25*0.18)+(U25*0.10)+(V25*0.10),2)</x:f>
        <x:v>3.27</x:v>
      </x:c>
      <x:c r="X25" t="str">
        <x:f>IF(W25&gt;=3.55,"Pass","Fail")</x:f>
        <x:v>Fail</x:v>
      </x:c>
      <x:c r="Y25" t="str">
        <x:v>scale of tool is off</x:v>
      </x:c>
      <x:c r="Z25" t="str">
        <x:v>Human check: This should fail the instructional bar. The model gestures toward the task, but the failure mode prevents a learner from trusting the technique: scale of tool is off. I marked it down for the key moment rather than the opening setup. For this plumbing example, the main judgment is still whether the viewer can copy the motion.</x:v>
      </x:c>
      <x:c r="AA25" t="str">
        <x:v>Use a reference image for the braided supply hose and specify its grip/orientation in plain language.</x:v>
      </x:c>
      <x:c r="AB25" t="str">
        <x:v>Medium</x:v>
      </x:c>
      <x:c r="AC25" t="str"/>
      <x:c r="AD25" t="str">
        <x:v>Synthetic benchmark entry; generated clip URL should be filled after API run.</x:v>
      </x:c>
    </x:row>
    <x:row r="26">
      <x:c r="A26" t="str">
        <x:v>S005-Veo-SEQ</x:v>
      </x:c>
      <x:c r="B26" t="str">
        <x:v>S005</x:v>
      </x:c>
      <x:c r="C26" t="str">
        <x:v>Plumbing</x:v>
      </x:c>
      <x:c r="D26" t="str">
        <x:v>leak check</x:v>
      </x:c>
      <x:c r="E26" t="str">
        <x:v>testing</x:v>
      </x:c>
      <x:c r="F26" t="n">
        <x:v>2</x:v>
      </x:c>
      <x:c r="G26" t="str">
        <x:v>check a sink trap joint for a slow drip with a dry tissue</x:v>
      </x:c>
      <x:c r="H26" t="str">
        <x:v>dry tissue</x:v>
      </x:c>
      <x:c r="I26" t="str">
        <x:v>sink trap joint</x:v>
      </x:c>
      <x:c r="J26" t="str">
        <x:v>Veo 3.1</x:v>
      </x:c>
      <x:c r="K26" t="str">
        <x:v>Sequential Context</x:v>
      </x:c>
      <x:c r="L26" t="str">
        <x:v>Provides previous and next step for continuity without asking for them to appear.</x:v>
      </x:c>
      <x:c r="M26" t="str">
        <x:v>Close-up realistic instructional DIY video: check a sink trap joint for a slow drip with a dry tissue. Show dry tissue working on sink trap joint. Hands visible, stable camera, no text overlay, neutral shop lighting. This is the middle clip in a sequence. Previous step has already prepared the work area; next step will verify the result. Keep the same workpiece, camera distance, and hand orientation.</x:v>
      </x:c>
      <x:c r="N26" s="14" t="n">
        <x:v>8</x:v>
      </x:c>
      <x:c r="O26" s="14" t="n">
        <x:v>100050</x:v>
      </x:c>
      <x:c r="P26" t="str">
        <x:v>R-D</x:v>
      </x:c>
      <x:c r="Q26" s="12" t="n">
        <x:v>4.58</x:v>
      </x:c>
      <x:c r="R26" s="12" t="n">
        <x:v>4.34</x:v>
      </x:c>
      <x:c r="S26" s="12" t="n">
        <x:v>4</x:v>
      </x:c>
      <x:c r="T26" s="12" t="n">
        <x:v>4.51</x:v>
      </x:c>
      <x:c r="U26" s="12" t="n">
        <x:v>4.62</x:v>
      </x:c>
      <x:c r="V26" s="12" t="n">
        <x:v>4.63</x:v>
      </x:c>
      <x:c r="W26" s="12" t="n">
        <x:f>ROUND((Q26*0.24)+(R26*0.22)+(S26*0.16)+(T26*0.18)+(U26*0.10)+(V26*0.10),2)</x:f>
        <x:v>4.43</x:v>
      </x:c>
      <x:c r="X26" t="str">
        <x:f>IF(W26&gt;=3.55,"Pass","Fail")</x:f>
        <x:v>Pass</x:v>
      </x:c>
      <x:c r="Y26" t="str">
        <x:v>none</x:v>
      </x:c>
      <x:c r="Z26" t="str">
        <x:v>QA note: Clear enough for a learner. The workpiece does not wander and the camera stays on the sink trap joint; I would still add a freeze or caption after generation. The tool silhouette is acceptable; the mechanics are the weak part. Continuity is useful here, but it cannot replace showing the actual contact point.</x:v>
      </x:c>
      <x:c r="AA26" t="str">
        <x:v>No immediate re-run; keep as candidate and verify with a second rater.</x:v>
      </x:c>
      <x:c r="AB26" t="str">
        <x:v>Medium-High</x:v>
      </x:c>
      <x:c r="AC26" t="str"/>
      <x:c r="AD26" t="str">
        <x:v>Simulated pilot row for planning; replace with blinded ratings after generating actual clips.</x:v>
      </x:c>
    </x:row>
    <x:row r="27">
      <x:c r="A27" t="str">
        <x:v>S005-Sora-SEQ</x:v>
      </x:c>
      <x:c r="B27" t="str">
        <x:v>S005</x:v>
      </x:c>
      <x:c r="C27" t="str">
        <x:v>Plumbing</x:v>
      </x:c>
      <x:c r="D27" t="str">
        <x:v>leak check</x:v>
      </x:c>
      <x:c r="E27" t="str">
        <x:v>testing</x:v>
      </x:c>
      <x:c r="F27" t="n">
        <x:v>2</x:v>
      </x:c>
      <x:c r="G27" t="str">
        <x:v>check a sink trap joint for a slow drip with a dry tissue</x:v>
      </x:c>
      <x:c r="H27" t="str">
        <x:v>dry tissue</x:v>
      </x:c>
      <x:c r="I27" t="str">
        <x:v>sink trap joint</x:v>
      </x:c>
      <x:c r="J27" t="str">
        <x:v>Sora 2 Pro</x:v>
      </x:c>
      <x:c r="K27" t="str">
        <x:v>Sequential Context</x:v>
      </x:c>
      <x:c r="L27" t="str">
        <x:v>Provides previous and next step for continuity without asking for them to appear.</x:v>
      </x:c>
      <x:c r="M27" t="str">
        <x:v>Close-up realistic instructional DIY video: check a sink trap joint for a slow drip with a dry tissue. Show dry tissue working on sink trap joint. Hands visible, stable camera, no text overlay, neutral shop lighting. This is the middle clip in a sequence. Previous step has already prepared the work area; next step will verify the result. Keep the same workpiece, camera distance, and hand orientation.</x:v>
      </x:c>
      <x:c r="N27" s="14" t="n">
        <x:v>8</x:v>
      </x:c>
      <x:c r="O27" s="14" t="n">
        <x:v>100051</x:v>
      </x:c>
      <x:c r="P27" t="str">
        <x:v>R-B</x:v>
      </x:c>
      <x:c r="Q27" s="12" t="n">
        <x:v>3.77</x:v>
      </x:c>
      <x:c r="R27" s="12" t="n">
        <x:v>4.02</x:v>
      </x:c>
      <x:c r="S27" s="12" t="n">
        <x:v>4.48</x:v>
      </x:c>
      <x:c r="T27" s="12" t="n">
        <x:v>4.59</x:v>
      </x:c>
      <x:c r="U27" s="12" t="n">
        <x:v>3.93</x:v>
      </x:c>
      <x:c r="V27" s="12" t="n">
        <x:v>4.28</x:v>
      </x:c>
      <x:c r="W27" s="12" t="n">
        <x:f>ROUND((Q27*0.24)+(R27*0.22)+(S27*0.16)+(T27*0.18)+(U27*0.10)+(V27*0.10),2)</x:f>
        <x:v>4.15</x:v>
      </x:c>
      <x:c r="X27" t="str">
        <x:f>IF(W27&gt;=3.55,"Pass","Fail")</x:f>
        <x:v>Pass</x:v>
      </x:c>
      <x:c r="Y27" t="str">
        <x:v>endpoint not visible</x:v>
      </x:c>
      <x:c r="Z27" t="str">
        <x:v>QA note: Clear enough for a learner. The workpiece does not wander and the camera stays on the sink trap joint; I would still add a freeze or caption after generation. The next prompt should slow the final second instead of adding more scene detail. Continuity is useful here, but it cannot replace showing the actual contact point.</x:v>
      </x:c>
      <x:c r="AA27" t="str">
        <x:v>Break the action into start, contact, movement, and finish; ban extra tools and hand morphing.</x:v>
      </x:c>
      <x:c r="AB27" t="str">
        <x:v>Medium</x:v>
      </x:c>
      <x:c r="AC27" t="str"/>
      <x:c r="AD27" t="str">
        <x:v>Planning dataset only; scores are plausible placeholders, not vendor claims.</x:v>
      </x:c>
    </x:row>
    <x:row r="28">
      <x:c r="A28" t="str">
        <x:v>S005-Runway-SEQ</x:v>
      </x:c>
      <x:c r="B28" t="str">
        <x:v>S005</x:v>
      </x:c>
      <x:c r="C28" t="str">
        <x:v>Plumbing</x:v>
      </x:c>
      <x:c r="D28" t="str">
        <x:v>leak check</x:v>
      </x:c>
      <x:c r="E28" t="str">
        <x:v>testing</x:v>
      </x:c>
      <x:c r="F28" t="n">
        <x:v>2</x:v>
      </x:c>
      <x:c r="G28" t="str">
        <x:v>check a sink trap joint for a slow drip with a dry tissue</x:v>
      </x:c>
      <x:c r="H28" t="str">
        <x:v>dry tissue</x:v>
      </x:c>
      <x:c r="I28" t="str">
        <x:v>sink trap joint</x:v>
      </x:c>
      <x:c r="J28" t="str">
        <x:v>Runway Gen-4.5</x:v>
      </x:c>
      <x:c r="K28" t="str">
        <x:v>Sequential Context</x:v>
      </x:c>
      <x:c r="L28" t="str">
        <x:v>Provides previous and next step for continuity without asking for them to appear.</x:v>
      </x:c>
      <x:c r="M28" t="str">
        <x:v>Close-up realistic instructional DIY video: check a sink trap joint for a slow drip with a dry tissue. Show dry tissue working on sink trap joint. Hands visible, stable camera, no text overlay, neutral shop lighting. This is the middle clip in a sequence. Previous step has already prepared the work area; next step will verify the result. Keep the same workpiece, camera distance, and hand orientation.</x:v>
      </x:c>
      <x:c r="N28" s="14" t="n">
        <x:v>5</x:v>
      </x:c>
      <x:c r="O28" s="14" t="n">
        <x:v>100052</x:v>
      </x:c>
      <x:c r="P28" t="str">
        <x:v>R-D</x:v>
      </x:c>
      <x:c r="Q28" s="12" t="n">
        <x:v>4.22</x:v>
      </x:c>
      <x:c r="R28" s="12" t="n">
        <x:v>3.65</x:v>
      </x:c>
      <x:c r="S28" s="12" t="n">
        <x:v>4.32</x:v>
      </x:c>
      <x:c r="T28" s="12" t="n">
        <x:v>4.51</x:v>
      </x:c>
      <x:c r="U28" s="12" t="n">
        <x:v>4.11</x:v>
      </x:c>
      <x:c r="V28" s="12" t="n">
        <x:v>4.16</x:v>
      </x:c>
      <x:c r="W28" s="12" t="n">
        <x:f>ROUND((Q28*0.24)+(R28*0.22)+(S28*0.16)+(T28*0.18)+(U28*0.10)+(V28*0.10),2)</x:f>
        <x:v>4.15</x:v>
      </x:c>
      <x:c r="X28" t="str">
        <x:f>IF(W28&gt;=3.55,"Pass","Fail")</x:f>
        <x:v>Pass</x:v>
      </x:c>
      <x:c r="Y28" t="str">
        <x:v>endpoint not visible</x:v>
      </x:c>
      <x:c r="Z28" t="str">
        <x:v>Human check: Clear enough for a learner. The workpiece does not wander and the camera stays on the sink trap joint; I would still add a freeze or caption after generation. On a small preview it might pass, but full-screen review exposes the issue. Continuity is useful here, but it cannot replace showing the actual contact point.</x:v>
      </x:c>
      <x:c r="AA28" t="str">
        <x:v>Use sequential context only for continuity, not for adding previous/next steps into the frame.</x:v>
      </x:c>
      <x:c r="AB28" t="str">
        <x:v>Medium-High</x:v>
      </x:c>
      <x:c r="AC28" t="str"/>
      <x:c r="AD28" t="str">
        <x:v>Mock rater record for experiment design; audit against real video outputs before publication.</x:v>
      </x:c>
    </x:row>
    <x:row r="29">
      <x:c r="A29" t="str">
        <x:v>S005-Kling-SEQ</x:v>
      </x:c>
      <x:c r="B29" t="str">
        <x:v>S005</x:v>
      </x:c>
      <x:c r="C29" t="str">
        <x:v>Plumbing</x:v>
      </x:c>
      <x:c r="D29" t="str">
        <x:v>leak check</x:v>
      </x:c>
      <x:c r="E29" t="str">
        <x:v>testing</x:v>
      </x:c>
      <x:c r="F29" t="n">
        <x:v>2</x:v>
      </x:c>
      <x:c r="G29" t="str">
        <x:v>check a sink trap joint for a slow drip with a dry tissue</x:v>
      </x:c>
      <x:c r="H29" t="str">
        <x:v>dry tissue</x:v>
      </x:c>
      <x:c r="I29" t="str">
        <x:v>sink trap joint</x:v>
      </x:c>
      <x:c r="J29" t="str">
        <x:v>Kling v3.0 (Replicate)</x:v>
      </x:c>
      <x:c r="K29" t="str">
        <x:v>Sequential Context</x:v>
      </x:c>
      <x:c r="L29" t="str">
        <x:v>Provides previous and next step for continuity without asking for them to appear.</x:v>
      </x:c>
      <x:c r="M29" t="str">
        <x:v>Close-up realistic instructional DIY video: check a sink trap joint for a slow drip with a dry tissue. Show dry tissue working on sink trap joint. Hands visible, stable camera, no text overlay, neutral shop lighting. This is the middle clip in a sequence. Previous step has already prepared the work area; next step will verify the result. Keep the same workpiece, camera distance, and hand orientation.</x:v>
      </x:c>
      <x:c r="N29" s="14" t="n">
        <x:v>10</x:v>
      </x:c>
      <x:c r="O29" s="14" t="n">
        <x:v>100053</x:v>
      </x:c>
      <x:c r="P29" t="str">
        <x:v>R-C</x:v>
      </x:c>
      <x:c r="Q29" s="12" t="n">
        <x:v>4</x:v>
      </x:c>
      <x:c r="R29" s="12" t="n">
        <x:v>3.9</x:v>
      </x:c>
      <x:c r="S29" s="12" t="n">
        <x:v>4.06</x:v>
      </x:c>
      <x:c r="T29" s="12" t="n">
        <x:v>4.25</x:v>
      </x:c>
      <x:c r="U29" s="12" t="n">
        <x:v>3.8</x:v>
      </x:c>
      <x:c r="V29" s="12" t="n">
        <x:v>4.11</x:v>
      </x:c>
      <x:c r="W29" s="12" t="n">
        <x:f>ROUND((Q29*0.24)+(R29*0.22)+(S29*0.16)+(T29*0.18)+(U29*0.10)+(V29*0.10),2)</x:f>
        <x:v>4.02</x:v>
      </x:c>
      <x:c r="X29" t="str">
        <x:f>IF(W29&gt;=3.55,"Pass","Fail")</x:f>
        <x:v>Pass</x:v>
      </x:c>
      <x:c r="Y29" t="str">
        <x:v>contact point hidden</x:v>
      </x:c>
      <x:c r="Z29" t="str">
        <x:v>Clip review: I would keep this as a rough candidate. It communicates the step, although the failure mode makes it weaker than a real sourced clip: contact point hidden. I would keep the same camera angle but ask for a tighter view of the contact point. Continuity is useful here, but it cannot replace showing the actual contact point.</x:v>
      </x:c>
      <x:c r="AA29" t="str">
        <x:v>Ask for a static close-up and require the dry tissue to touch the sink trap joint before any motion starts.</x:v>
      </x:c>
      <x:c r="AB29" t="str">
        <x:v>High</x:v>
      </x:c>
      <x:c r="AC29" t="str"/>
      <x:c r="AD29" t="str">
        <x:v>Simulated pilot row for planning; replace with blinded ratings after generating actual clips.</x:v>
      </x:c>
    </x:row>
    <x:row r="30">
      <x:c r="A30" t="str">
        <x:v>S005-Pika-SEQ</x:v>
      </x:c>
      <x:c r="B30" t="str">
        <x:v>S005</x:v>
      </x:c>
      <x:c r="C30" t="str">
        <x:v>Plumbing</x:v>
      </x:c>
      <x:c r="D30" t="str">
        <x:v>leak check</x:v>
      </x:c>
      <x:c r="E30" t="str">
        <x:v>testing</x:v>
      </x:c>
      <x:c r="F30" t="n">
        <x:v>2</x:v>
      </x:c>
      <x:c r="G30" t="str">
        <x:v>check a sink trap joint for a slow drip with a dry tissue</x:v>
      </x:c>
      <x:c r="H30" t="str">
        <x:v>dry tissue</x:v>
      </x:c>
      <x:c r="I30" t="str">
        <x:v>sink trap joint</x:v>
      </x:c>
      <x:c r="J30" t="str">
        <x:v>Pika 2.2</x:v>
      </x:c>
      <x:c r="K30" t="str">
        <x:v>Sequential Context</x:v>
      </x:c>
      <x:c r="L30" t="str">
        <x:v>Provides previous and next step for continuity without asking for them to appear.</x:v>
      </x:c>
      <x:c r="M30" t="str">
        <x:v>Close-up realistic instructional DIY video: check a sink trap joint for a slow drip with a dry tissue. Show dry tissue working on sink trap joint. Hands visible, stable camera, no text overlay, neutral shop lighting. This is the middle clip in a sequence. Previous step has already prepared the work area; next step will verify the result. Keep the same workpiece, camera distance, and hand orientation.</x:v>
      </x:c>
      <x:c r="N30" s="14" t="n">
        <x:v>5</x:v>
      </x:c>
      <x:c r="O30" s="14" t="n">
        <x:v>100054</x:v>
      </x:c>
      <x:c r="P30" t="str">
        <x:v>R-D</x:v>
      </x:c>
      <x:c r="Q30" s="12" t="n">
        <x:v>3.31</x:v>
      </x:c>
      <x:c r="R30" s="12" t="n">
        <x:v>3.45</x:v>
      </x:c>
      <x:c r="S30" s="12" t="n">
        <x:v>4.27</x:v>
      </x:c>
      <x:c r="T30" s="12" t="n">
        <x:v>3.06</x:v>
      </x:c>
      <x:c r="U30" s="12" t="n">
        <x:v>3.86</x:v>
      </x:c>
      <x:c r="V30" s="12" t="n">
        <x:v>3.78</x:v>
      </x:c>
      <x:c r="W30" s="12" t="n">
        <x:f>ROUND((Q30*0.24)+(R30*0.22)+(S30*0.16)+(T30*0.18)+(U30*0.10)+(V30*0.10),2)</x:f>
        <x:v>3.55</x:v>
      </x:c>
      <x:c r="X30" t="str">
        <x:f>IF(W30&gt;=3.55,"Pass","Fail")</x:f>
        <x:v>Pass</x:v>
      </x:c>
      <x:c r="Y30" t="str">
        <x:v>tool floats near object</x:v>
      </x:c>
      <x:c r="Z30" t="str">
        <x:v>QA note: Looks plausible at first glance. On a second pass, the sink trap joint shifts slightly and the model seems to infer the outcome rather than show the full testing. On a small preview it might pass, but full-screen review exposes the issue. Continuity is useful here, but it cannot replace showing the actual contact point.</x:v>
      </x:c>
      <x:c r="AA30" t="str">
        <x:v>Move safety language earlier in the prompt and remove cinematic camera instructions.</x:v>
      </x:c>
      <x:c r="AB30" t="str">
        <x:v>Medium-High</x:v>
      </x:c>
      <x:c r="AC30" t="str"/>
      <x:c r="AD30" t="str">
        <x:v>Simulated pilot row for planning; replace with blinded ratings after generating actual clips.</x:v>
      </x:c>
    </x:row>
    <x:row r="31">
      <x:c r="A31" t="str">
        <x:v>S005-Vidu-SEQ</x:v>
      </x:c>
      <x:c r="B31" t="str">
        <x:v>S005</x:v>
      </x:c>
      <x:c r="C31" t="str">
        <x:v>Plumbing</x:v>
      </x:c>
      <x:c r="D31" t="str">
        <x:v>leak check</x:v>
      </x:c>
      <x:c r="E31" t="str">
        <x:v>testing</x:v>
      </x:c>
      <x:c r="F31" t="n">
        <x:v>2</x:v>
      </x:c>
      <x:c r="G31" t="str">
        <x:v>check a sink trap joint for a slow drip with a dry tissue</x:v>
      </x:c>
      <x:c r="H31" t="str">
        <x:v>dry tissue</x:v>
      </x:c>
      <x:c r="I31" t="str">
        <x:v>sink trap joint</x:v>
      </x:c>
      <x:c r="J31" t="str">
        <x:v>Vidu 2.0</x:v>
      </x:c>
      <x:c r="K31" t="str">
        <x:v>Sequential Context</x:v>
      </x:c>
      <x:c r="L31" t="str">
        <x:v>Provides previous and next step for continuity without asking for them to appear.</x:v>
      </x:c>
      <x:c r="M31" t="str">
        <x:v>Close-up realistic instructional DIY video: check a sink trap joint for a slow drip with a dry tissue. Show dry tissue working on sink trap joint. Hands visible, stable camera, no text overlay, neutral shop lighting. This is the middle clip in a sequence. Previous step has already prepared the work area; next step will verify the result. Keep the same workpiece, camera distance, and hand orientation.</x:v>
      </x:c>
      <x:c r="N31" s="14" t="n">
        <x:v>5</x:v>
      </x:c>
      <x:c r="O31" s="14" t="n">
        <x:v>100055</x:v>
      </x:c>
      <x:c r="P31" t="str">
        <x:v>R-C</x:v>
      </x:c>
      <x:c r="Q31" s="12" t="n">
        <x:v>2.94</x:v>
      </x:c>
      <x:c r="R31" s="12" t="n">
        <x:v>3.37</x:v>
      </x:c>
      <x:c r="S31" s="12" t="n">
        <x:v>3.25</x:v>
      </x:c>
      <x:c r="T31" s="12" t="n">
        <x:v>3.45</x:v>
      </x:c>
      <x:c r="U31" s="12" t="n">
        <x:v>3.26</x:v>
      </x:c>
      <x:c r="V31" s="12" t="n">
        <x:v>3.65</x:v>
      </x:c>
      <x:c r="W31" s="12" t="n">
        <x:f>ROUND((Q31*0.24)+(R31*0.22)+(S31*0.16)+(T31*0.18)+(U31*0.10)+(V31*0.10),2)</x:f>
        <x:v>3.28</x:v>
      </x:c>
      <x:c r="X31" t="str">
        <x:f>IF(W31&gt;=3.55,"Pass","Fail")</x:f>
        <x:v>Fail</x:v>
      </x:c>
      <x:c r="Y31" t="str">
        <x:v>action starts too late</x:v>
      </x:c>
      <x:c r="Z31" t="str">
        <x:v>Review note: A reviewer would likely reject this. It may be visually attractive, but the tool/object relationship breaks during the important moment. The mistake appears late, so a simple thumbnail review would probably miss it. Continuity is useful here, but it cannot replace showing the actual contact point.</x:v>
      </x:c>
      <x:c r="AA31" t="str">
        <x:v>Add a one-sentence end-state requirement: viewer must see the completed testing result for one full second.</x:v>
      </x:c>
      <x:c r="AB31" t="str">
        <x:v>Medium-High</x:v>
      </x:c>
      <x:c r="AC31" t="str"/>
      <x:c r="AD31" t="str">
        <x:v>Mock rater record for experiment design; audit against real video outputs before publication.</x:v>
      </x:c>
    </x:row>
    <x:row r="32">
      <x:c r="A32" t="str">
        <x:v>S006-Veo-CON</x:v>
      </x:c>
      <x:c r="B32" t="str">
        <x:v>S006</x:v>
      </x:c>
      <x:c r="C32" t="str">
        <x:v>Plumbing</x:v>
      </x:c>
      <x:c r="D32" t="str">
        <x:v>valve service</x:v>
      </x:c>
      <x:c r="E32" t="str">
        <x:v>turning</x:v>
      </x:c>
      <x:c r="F32" t="n">
        <x:v>2</x:v>
      </x:c>
      <x:c r="G32" t="str">
        <x:v>turn a quarter-turn shutoff valve fully clockwise</x:v>
      </x:c>
      <x:c r="H32" t="str">
        <x:v>hand only</x:v>
      </x:c>
      <x:c r="I32" t="str">
        <x:v>quarter-turn valve</x:v>
      </x:c>
      <x:c r="J32" t="str">
        <x:v>Veo 3.1</x:v>
      </x:c>
      <x:c r="K32" t="str">
        <x:v>Constraint-Rich Negative Prompt</x:v>
      </x:c>
      <x:c r="L32" t="str">
        <x:v>Adds concise no-floating-tools/no-extra-objects/no-morphing constraints.</x:v>
      </x:c>
      <x:c r="M32" t="str">
        <x:v>Close-up realistic instructional DIY video: turn a quarter-turn shutoff valve fully clockwise. Show hand only working on quarter-turn valve. Hands visible, stable camera, no text overlay, neutral shop lighting. Constraints: no floating tools, no extra tools, no morphing hands, no reversed motion, no impossible deformation, no dramatic camera spin. Keep the full action legible.</x:v>
      </x:c>
      <x:c r="N32" s="14" t="n">
        <x:v>8</x:v>
      </x:c>
      <x:c r="O32" s="14" t="n">
        <x:v>100060</x:v>
      </x:c>
      <x:c r="P32" t="str">
        <x:v>R-C</x:v>
      </x:c>
      <x:c r="Q32" s="12" t="n">
        <x:v>4.17</x:v>
      </x:c>
      <x:c r="R32" s="12" t="n">
        <x:v>4.55</x:v>
      </x:c>
      <x:c r="S32" s="12" t="n">
        <x:v>4.4</x:v>
      </x:c>
      <x:c r="T32" s="12" t="n">
        <x:v>4.06</x:v>
      </x:c>
      <x:c r="U32" s="12" t="n">
        <x:v>4.51</x:v>
      </x:c>
      <x:c r="V32" s="12" t="n">
        <x:v>4.35</x:v>
      </x:c>
      <x:c r="W32" s="12" t="n">
        <x:f>ROUND((Q32*0.24)+(R32*0.22)+(S32*0.16)+(T32*0.18)+(U32*0.10)+(V32*0.10),2)</x:f>
        <x:v>4.32</x:v>
      </x:c>
      <x:c r="X32" t="str">
        <x:f>IF(W32&gt;=3.55,"Pass","Fail")</x:f>
        <x:v>Pass</x:v>
      </x:c>
      <x:c r="Y32" t="str">
        <x:v>none</x:v>
      </x:c>
      <x:c r="Z32" t="str">
        <x:v>Rater note: The clip feels like a usable shop-demo take. I can see the hand position and the quarter-turn valve; it just needs a slightly longer hold on the final state. This would be safer as a reference-aided run than a text-only run. The negative constraints help, but they do not fully solve the mechanics.</x:v>
      </x:c>
      <x:c r="AA32" t="str">
        <x:v>No immediate re-run; keep as candidate and verify with a second rater.</x:v>
      </x:c>
      <x:c r="AB32" t="str">
        <x:v>Medium</x:v>
      </x:c>
      <x:c r="AC32" t="str"/>
      <x:c r="AD32" t="str">
        <x:v>Mock rater record for experiment design; audit against real video outputs before publication.</x:v>
      </x:c>
    </x:row>
    <x:row r="33">
      <x:c r="A33" t="str">
        <x:v>S006-Sora-CON</x:v>
      </x:c>
      <x:c r="B33" t="str">
        <x:v>S006</x:v>
      </x:c>
      <x:c r="C33" t="str">
        <x:v>Plumbing</x:v>
      </x:c>
      <x:c r="D33" t="str">
        <x:v>valve service</x:v>
      </x:c>
      <x:c r="E33" t="str">
        <x:v>turning</x:v>
      </x:c>
      <x:c r="F33" t="n">
        <x:v>2</x:v>
      </x:c>
      <x:c r="G33" t="str">
        <x:v>turn a quarter-turn shutoff valve fully clockwise</x:v>
      </x:c>
      <x:c r="H33" t="str">
        <x:v>hand only</x:v>
      </x:c>
      <x:c r="I33" t="str">
        <x:v>quarter-turn valve</x:v>
      </x:c>
      <x:c r="J33" t="str">
        <x:v>Sora 2 Pro</x:v>
      </x:c>
      <x:c r="K33" t="str">
        <x:v>Constraint-Rich Negative Prompt</x:v>
      </x:c>
      <x:c r="L33" t="str">
        <x:v>Adds concise no-floating-tools/no-extra-objects/no-morphing constraints.</x:v>
      </x:c>
      <x:c r="M33" t="str">
        <x:v>Close-up realistic instructional DIY video: turn a quarter-turn shutoff valve fully clockwise. Show hand only working on quarter-turn valve. Hands visible, stable camera, no text overlay, neutral shop lighting. Constraints: no floating tools, no extra tools, no morphing hands, no reversed motion, no impossible deformation, no dramatic camera spin. Keep the full action legible.</x:v>
      </x:c>
      <x:c r="N33" s="14" t="n">
        <x:v>8</x:v>
      </x:c>
      <x:c r="O33" s="14" t="n">
        <x:v>100061</x:v>
      </x:c>
      <x:c r="P33" t="str">
        <x:v>R-D</x:v>
      </x:c>
      <x:c r="Q33" s="12" t="n">
        <x:v>4.11</x:v>
      </x:c>
      <x:c r="R33" s="12" t="n">
        <x:v>4.04</x:v>
      </x:c>
      <x:c r="S33" s="12" t="n">
        <x:v>4.39</x:v>
      </x:c>
      <x:c r="T33" s="12" t="n">
        <x:v>4.51</x:v>
      </x:c>
      <x:c r="U33" s="12" t="n">
        <x:v>3.9</x:v>
      </x:c>
      <x:c r="V33" s="12" t="n">
        <x:v>4.55</x:v>
      </x:c>
      <x:c r="W33" s="12" t="n">
        <x:f>ROUND((Q33*0.24)+(R33*0.22)+(S33*0.16)+(T33*0.18)+(U33*0.10)+(V33*0.10),2)</x:f>
        <x:v>4.23</x:v>
      </x:c>
      <x:c r="X33" t="str">
        <x:f>IF(W33&gt;=3.55,"Pass","Fail")</x:f>
        <x:v>Pass</x:v>
      </x:c>
      <x:c r="Y33" t="str">
        <x:v>small hand occlusion</x:v>
      </x:c>
      <x:c r="Z33" t="str">
        <x:v>Review note: The clip feels like a usable shop-demo take. I can see the hand position and the quarter-turn valve; it just needs a slightly longer hold on the final state. I would keep the same camera angle but ask for a tighter view of the contact point. The negative constraints help, but they do not fully solve the mechanics.</x:v>
      </x:c>
      <x:c r="AA33" t="str">
        <x:v>Use sequential context only for continuity, not for adding previous/next steps into the frame.</x:v>
      </x:c>
      <x:c r="AB33" t="str">
        <x:v>High</x:v>
      </x:c>
      <x:c r="AC33" t="str"/>
      <x:c r="AD33" t="str">
        <x:v>Planning dataset only; scores are plausible placeholders, not vendor claims.</x:v>
      </x:c>
    </x:row>
    <x:row r="34">
      <x:c r="A34" t="str">
        <x:v>S006-Runway-CON</x:v>
      </x:c>
      <x:c r="B34" t="str">
        <x:v>S006</x:v>
      </x:c>
      <x:c r="C34" t="str">
        <x:v>Plumbing</x:v>
      </x:c>
      <x:c r="D34" t="str">
        <x:v>valve service</x:v>
      </x:c>
      <x:c r="E34" t="str">
        <x:v>turning</x:v>
      </x:c>
      <x:c r="F34" t="n">
        <x:v>2</x:v>
      </x:c>
      <x:c r="G34" t="str">
        <x:v>turn a quarter-turn shutoff valve fully clockwise</x:v>
      </x:c>
      <x:c r="H34" t="str">
        <x:v>hand only</x:v>
      </x:c>
      <x:c r="I34" t="str">
        <x:v>quarter-turn valve</x:v>
      </x:c>
      <x:c r="J34" t="str">
        <x:v>Runway Gen-4.5</x:v>
      </x:c>
      <x:c r="K34" t="str">
        <x:v>Constraint-Rich Negative Prompt</x:v>
      </x:c>
      <x:c r="L34" t="str">
        <x:v>Adds concise no-floating-tools/no-extra-objects/no-morphing constraints.</x:v>
      </x:c>
      <x:c r="M34" t="str">
        <x:v>Close-up realistic instructional DIY video: turn a quarter-turn shutoff valve fully clockwise. Show hand only working on quarter-turn valve. Hands visible, stable camera, no text overlay, neutral shop lighting. Constraints: no floating tools, no extra tools, no morphing hands, no reversed motion, no impossible deformation, no dramatic camera spin. Keep the full action legible.</x:v>
      </x:c>
      <x:c r="N34" s="14" t="n">
        <x:v>5</x:v>
      </x:c>
      <x:c r="O34" s="14" t="n">
        <x:v>100062</x:v>
      </x:c>
      <x:c r="P34" t="str">
        <x:v>R-B</x:v>
      </x:c>
      <x:c r="Q34" s="12" t="n">
        <x:v>3.61</x:v>
      </x:c>
      <x:c r="R34" s="12" t="n">
        <x:v>3.9</x:v>
      </x:c>
      <x:c r="S34" s="12" t="n">
        <x:v>3.79</x:v>
      </x:c>
      <x:c r="T34" s="12" t="n">
        <x:v>3.91</x:v>
      </x:c>
      <x:c r="U34" s="12" t="n">
        <x:v>4.2</x:v>
      </x:c>
      <x:c r="V34" s="12" t="n">
        <x:v>4.51</x:v>
      </x:c>
      <x:c r="W34" s="12" t="n">
        <x:f>ROUND((Q34*0.24)+(R34*0.22)+(S34*0.16)+(T34*0.18)+(U34*0.10)+(V34*0.10),2)</x:f>
        <x:v>3.91</x:v>
      </x:c>
      <x:c r="X34" t="str">
        <x:f>IF(W34&gt;=3.55,"Pass","Fail")</x:f>
        <x:v>Pass</x:v>
      </x:c>
      <x:c r="Y34" t="str">
        <x:v>motion slightly compressed</x:v>
      </x:c>
      <x:c r="Z34" t="str">
        <x:v>Review note: Usable, but I would not show it without review. The hand only is recognizable, yet the exact contact point is hard to see when the hand crosses the frame. The tool silhouette is acceptable; the mechanics are the weak part. The negative constraints help, but they do not fully solve the mechanics.</x:v>
      </x:c>
      <x:c r="AA34" t="str">
        <x:v>Use a reference image for the hand only and specify its grip/orientation in plain language.</x:v>
      </x:c>
      <x:c r="AB34" t="str">
        <x:v>Medium</x:v>
      </x:c>
      <x:c r="AC34" t="str"/>
      <x:c r="AD34" t="str">
        <x:v>Mock rater record for experiment design; audit against real video outputs before publication.</x:v>
      </x:c>
    </x:row>
    <x:row r="35">
      <x:c r="A35" t="str">
        <x:v>S006-Kling-CON</x:v>
      </x:c>
      <x:c r="B35" t="str">
        <x:v>S006</x:v>
      </x:c>
      <x:c r="C35" t="str">
        <x:v>Plumbing</x:v>
      </x:c>
      <x:c r="D35" t="str">
        <x:v>valve service</x:v>
      </x:c>
      <x:c r="E35" t="str">
        <x:v>turning</x:v>
      </x:c>
      <x:c r="F35" t="n">
        <x:v>2</x:v>
      </x:c>
      <x:c r="G35" t="str">
        <x:v>turn a quarter-turn shutoff valve fully clockwise</x:v>
      </x:c>
      <x:c r="H35" t="str">
        <x:v>hand only</x:v>
      </x:c>
      <x:c r="I35" t="str">
        <x:v>quarter-turn valve</x:v>
      </x:c>
      <x:c r="J35" t="str">
        <x:v>Kling v3.0 (Replicate)</x:v>
      </x:c>
      <x:c r="K35" t="str">
        <x:v>Constraint-Rich Negative Prompt</x:v>
      </x:c>
      <x:c r="L35" t="str">
        <x:v>Adds concise no-floating-tools/no-extra-objects/no-morphing constraints.</x:v>
      </x:c>
      <x:c r="M35" t="str">
        <x:v>Close-up realistic instructional DIY video: turn a quarter-turn shutoff valve fully clockwise. Show hand only working on quarter-turn valve. Hands visible, stable camera, no text overlay, neutral shop lighting. Constraints: no floating tools, no extra tools, no morphing hands, no reversed motion, no impossible deformation, no dramatic camera spin. Keep the full action legible.</x:v>
      </x:c>
      <x:c r="N35" s="14" t="n">
        <x:v>10</x:v>
      </x:c>
      <x:c r="O35" s="14" t="n">
        <x:v>100063</x:v>
      </x:c>
      <x:c r="P35" t="str">
        <x:v>R-E</x:v>
      </x:c>
      <x:c r="Q35" s="12" t="n">
        <x:v>3.97</x:v>
      </x:c>
      <x:c r="R35" s="12" t="n">
        <x:v>3.7</x:v>
      </x:c>
      <x:c r="S35" s="12" t="n">
        <x:v>4.72</x:v>
      </x:c>
      <x:c r="T35" s="12" t="n">
        <x:v>3.47</x:v>
      </x:c>
      <x:c r="U35" s="12" t="n">
        <x:v>3.91</x:v>
      </x:c>
      <x:c r="V35" s="12" t="n">
        <x:v>3.77</x:v>
      </x:c>
      <x:c r="W35" s="12" t="n">
        <x:f>ROUND((Q35*0.24)+(R35*0.22)+(S35*0.16)+(T35*0.18)+(U35*0.10)+(V35*0.10),2)</x:f>
        <x:v>3.91</x:v>
      </x:c>
      <x:c r="X35" t="str">
        <x:f>IF(W35&gt;=3.55,"Pass","Fail")</x:f>
        <x:v>Pass</x:v>
      </x:c>
      <x:c r="Y35" t="str">
        <x:v>tool pose a little soft</x:v>
      </x:c>
      <x:c r="Z35" t="str">
        <x:v>Human check: Usable, but I would not show it without review. The hand only is recognizable, yet the exact contact point is hard to see when the hand crosses the frame. The next prompt should slow the final second instead of adding more scene detail. The negative constraints help, but they do not fully solve the mechanics.</x:v>
      </x:c>
      <x:c r="AA35" t="str">
        <x:v>Break the action into start, contact, movement, and finish; ban extra tools and hand morphing.</x:v>
      </x:c>
      <x:c r="AB35" t="str">
        <x:v>Medium</x:v>
      </x:c>
      <x:c r="AC35" t="str"/>
      <x:c r="AD35" t="str">
        <x:v>Simulated pilot row for planning; replace with blinded ratings after generating actual clips.</x:v>
      </x:c>
    </x:row>
    <x:row r="36">
      <x:c r="A36" t="str">
        <x:v>S006-Pika-CON</x:v>
      </x:c>
      <x:c r="B36" t="str">
        <x:v>S006</x:v>
      </x:c>
      <x:c r="C36" t="str">
        <x:v>Plumbing</x:v>
      </x:c>
      <x:c r="D36" t="str">
        <x:v>valve service</x:v>
      </x:c>
      <x:c r="E36" t="str">
        <x:v>turning</x:v>
      </x:c>
      <x:c r="F36" t="n">
        <x:v>2</x:v>
      </x:c>
      <x:c r="G36" t="str">
        <x:v>turn a quarter-turn shutoff valve fully clockwise</x:v>
      </x:c>
      <x:c r="H36" t="str">
        <x:v>hand only</x:v>
      </x:c>
      <x:c r="I36" t="str">
        <x:v>quarter-turn valve</x:v>
      </x:c>
      <x:c r="J36" t="str">
        <x:v>Pika 2.2</x:v>
      </x:c>
      <x:c r="K36" t="str">
        <x:v>Constraint-Rich Negative Prompt</x:v>
      </x:c>
      <x:c r="L36" t="str">
        <x:v>Adds concise no-floating-tools/no-extra-objects/no-morphing constraints.</x:v>
      </x:c>
      <x:c r="M36" t="str">
        <x:v>Close-up realistic instructional DIY video: turn a quarter-turn shutoff valve fully clockwise. Show hand only working on quarter-turn valve. Hands visible, stable camera, no text overlay, neutral shop lighting. Constraints: no floating tools, no extra tools, no morphing hands, no reversed motion, no impossible deformation, no dramatic camera spin. Keep the full action legible.</x:v>
      </x:c>
      <x:c r="N36" s="14" t="n">
        <x:v>5</x:v>
      </x:c>
      <x:c r="O36" s="14" t="n">
        <x:v>100064</x:v>
      </x:c>
      <x:c r="P36" t="str">
        <x:v>R-B</x:v>
      </x:c>
      <x:c r="Q36" s="12" t="n">
        <x:v>3.65</x:v>
      </x:c>
      <x:c r="R36" s="12" t="n">
        <x:v>3.47</x:v>
      </x:c>
      <x:c r="S36" s="12" t="n">
        <x:v>2.93</x:v>
      </x:c>
      <x:c r="T36" s="12" t="n">
        <x:v>3.84</x:v>
      </x:c>
      <x:c r="U36" s="12" t="n">
        <x:v>3.42</x:v>
      </x:c>
      <x:c r="V36" s="12" t="n">
        <x:v>4.14</x:v>
      </x:c>
      <x:c r="W36" s="12" t="n">
        <x:f>ROUND((Q36*0.24)+(R36*0.22)+(S36*0.16)+(T36*0.18)+(U36*0.10)+(V36*0.10),2)</x:f>
        <x:v>3.56</x:v>
      </x:c>
      <x:c r="X36" t="str">
        <x:f>IF(W36&gt;=3.55,"Pass","Fail")</x:f>
        <x:v>Pass</x:v>
      </x:c>
      <x:c r="Y36" t="str">
        <x:v>material looks wrong</x:v>
      </x:c>
      <x:c r="Z36" t="str">
        <x:v>QA note: The clip has the right ingredients but not quite the right mechanics. It needs a tighter prompt about grip, contact, and the end position. The next prompt should slow the final second instead of adding more scene detail. The negative constraints help, but they do not fully solve the mechanics.</x:v>
      </x:c>
      <x:c r="AA36" t="str">
        <x:v>Use sequential context only for continuity, not for adding previous/next steps into the frame.</x:v>
      </x:c>
      <x:c r="AB36" t="str">
        <x:v>Medium-High</x:v>
      </x:c>
      <x:c r="AC36" t="str"/>
      <x:c r="AD36" t="str">
        <x:v>Synthetic benchmark entry; generated clip URL should be filled after API run.</x:v>
      </x:c>
    </x:row>
    <x:row r="37">
      <x:c r="A37" t="str">
        <x:v>S006-Vidu-CON</x:v>
      </x:c>
      <x:c r="B37" t="str">
        <x:v>S006</x:v>
      </x:c>
      <x:c r="C37" t="str">
        <x:v>Plumbing</x:v>
      </x:c>
      <x:c r="D37" t="str">
        <x:v>valve service</x:v>
      </x:c>
      <x:c r="E37" t="str">
        <x:v>turning</x:v>
      </x:c>
      <x:c r="F37" t="n">
        <x:v>2</x:v>
      </x:c>
      <x:c r="G37" t="str">
        <x:v>turn a quarter-turn shutoff valve fully clockwise</x:v>
      </x:c>
      <x:c r="H37" t="str">
        <x:v>hand only</x:v>
      </x:c>
      <x:c r="I37" t="str">
        <x:v>quarter-turn valve</x:v>
      </x:c>
      <x:c r="J37" t="str">
        <x:v>Vidu 2.0</x:v>
      </x:c>
      <x:c r="K37" t="str">
        <x:v>Constraint-Rich Negative Prompt</x:v>
      </x:c>
      <x:c r="L37" t="str">
        <x:v>Adds concise no-floating-tools/no-extra-objects/no-morphing constraints.</x:v>
      </x:c>
      <x:c r="M37" t="str">
        <x:v>Close-up realistic instructional DIY video: turn a quarter-turn shutoff valve fully clockwise. Show hand only working on quarter-turn valve. Hands visible, stable camera, no text overlay, neutral shop lighting. Constraints: no floating tools, no extra tools, no morphing hands, no reversed motion, no impossible deformation, no dramatic camera spin. Keep the full action legible.</x:v>
      </x:c>
      <x:c r="N37" s="14" t="n">
        <x:v>5</x:v>
      </x:c>
      <x:c r="O37" s="14" t="n">
        <x:v>100065</x:v>
      </x:c>
      <x:c r="P37" t="str">
        <x:v>R-C</x:v>
      </x:c>
      <x:c r="Q37" s="12" t="n">
        <x:v>3.66</x:v>
      </x:c>
      <x:c r="R37" s="12" t="n">
        <x:v>2.93</x:v>
      </x:c>
      <x:c r="S37" s="12" t="n">
        <x:v>3.54</x:v>
      </x:c>
      <x:c r="T37" s="12" t="n">
        <x:v>3.91</x:v>
      </x:c>
      <x:c r="U37" s="12" t="n">
        <x:v>3.34</x:v>
      </x:c>
      <x:c r="V37" s="12" t="n">
        <x:v>3.04</x:v>
      </x:c>
      <x:c r="W37" s="12" t="n">
        <x:f>ROUND((Q37*0.24)+(R37*0.22)+(S37*0.16)+(T37*0.18)+(U37*0.10)+(V37*0.10),2)</x:f>
        <x:v>3.43</x:v>
      </x:c>
      <x:c r="X37" t="str">
        <x:f>IF(W37&gt;=3.55,"Pass","Fail")</x:f>
        <x:v>Fail</x:v>
      </x:c>
      <x:c r="Y37" t="str">
        <x:v>action starts too late</x:v>
      </x:c>
      <x:c r="Z37" t="str">
        <x:v>QA note: The clip looks like generic DIY stock footage rather than this specific step. The main problem is action starts too late, and the end state is not verifiable. This reads better as a teaser than as an instructional clip. The negative constraints help, but they do not fully solve the mechanics.</x:v>
      </x:c>
      <x:c r="AA37" t="str">
        <x:v>Use a reference image for the hand only and specify its grip/orientation in plain language.</x:v>
      </x:c>
      <x:c r="AB37" t="str">
        <x:v>Medium-High</x:v>
      </x:c>
      <x:c r="AC37" t="str"/>
      <x:c r="AD37" t="str">
        <x:v>Synthetic benchmark entry; generated clip URL should be filled after API run.</x:v>
      </x:c>
    </x:row>
    <x:row r="38">
      <x:c r="A38" t="str">
        <x:v>S007-Veo-DIR</x:v>
      </x:c>
      <x:c r="B38" t="str">
        <x:v>S007</x:v>
      </x:c>
      <x:c r="C38" t="str">
        <x:v>Plumbing</x:v>
      </x:c>
      <x:c r="D38" t="str">
        <x:v>pipe prep</x:v>
      </x:c>
      <x:c r="E38" t="str">
        <x:v>cutting</x:v>
      </x:c>
      <x:c r="F38" t="n">
        <x:v>3</x:v>
      </x:c>
      <x:c r="G38" t="str">
        <x:v>cut PEX tubing squarely at a marked line</x:v>
      </x:c>
      <x:c r="H38" t="str">
        <x:v>PEX cutter</x:v>
      </x:c>
      <x:c r="I38" t="str">
        <x:v>red PEX tubing</x:v>
      </x:c>
      <x:c r="J38" t="str">
        <x:v>Veo 3.1</x:v>
      </x:c>
      <x:c r="K38" t="str">
        <x:v>Direct Natural Language</x:v>
      </x:c>
      <x:c r="L38" t="str">
        <x:v>Baseline wording only; no explicit decomposition.</x:v>
      </x:c>
      <x:c r="M38" t="str">
        <x:v>Close-up realistic instructional DIY video: cut PEX tubing squarely at a marked line. Show PEX cutter working on red PEX tubing. Hands visible, stable camera, no text overlay, neutral shop lighting.</x:v>
      </x:c>
      <x:c r="N38" s="14" t="n">
        <x:v>8</x:v>
      </x:c>
      <x:c r="O38" s="14" t="n">
        <x:v>100070</x:v>
      </x:c>
      <x:c r="P38" t="str">
        <x:v>R-D</x:v>
      </x:c>
      <x:c r="Q38" s="12" t="n">
        <x:v>4.02</x:v>
      </x:c>
      <x:c r="R38" s="12" t="n">
        <x:v>4</x:v>
      </x:c>
      <x:c r="S38" s="12" t="n">
        <x:v>3.67</x:v>
      </x:c>
      <x:c r="T38" s="12" t="n">
        <x:v>3.39</x:v>
      </x:c>
      <x:c r="U38" s="12" t="n">
        <x:v>3.54</x:v>
      </x:c>
      <x:c r="V38" s="12" t="n">
        <x:v>4</x:v>
      </x:c>
      <x:c r="W38" s="12" t="n">
        <x:f>ROUND((Q38*0.24)+(R38*0.22)+(S38*0.16)+(T38*0.18)+(U38*0.10)+(V38*0.10),2)</x:f>
        <x:v>3.8</x:v>
      </x:c>
      <x:c r="X38" t="str">
        <x:f>IF(W38&gt;=3.55,"Pass","Fail")</x:f>
        <x:v>Pass</x:v>
      </x:c>
      <x:c r="Y38" t="str">
        <x:v>missing safety cue</x:v>
      </x:c>
      <x:c r="Z38" t="str">
        <x:v>Clip review: I would keep this as a rough candidate. It communicates the step, although the failure mode makes it weaker than a real sourced clip: missing safety cue. I would keep the same camera angle but ask for a tighter view of the contact point. For this plumbing example, the main judgment is still whether the viewer can copy the motion.</x:v>
      </x:c>
      <x:c r="AA38" t="str">
        <x:v>Add a one-sentence end-state requirement: viewer must see the completed cutting result for one full second.</x:v>
      </x:c>
      <x:c r="AB38" t="str">
        <x:v>High</x:v>
      </x:c>
      <x:c r="AC38" t="str"/>
      <x:c r="AD38" t="str">
        <x:v>Synthetic benchmark entry; generated clip URL should be filled after API run.</x:v>
      </x:c>
    </x:row>
    <x:row r="39">
      <x:c r="A39" t="str">
        <x:v>S007-Sora-DIR</x:v>
      </x:c>
      <x:c r="B39" t="str">
        <x:v>S007</x:v>
      </x:c>
      <x:c r="C39" t="str">
        <x:v>Plumbing</x:v>
      </x:c>
      <x:c r="D39" t="str">
        <x:v>pipe prep</x:v>
      </x:c>
      <x:c r="E39" t="str">
        <x:v>cutting</x:v>
      </x:c>
      <x:c r="F39" t="n">
        <x:v>3</x:v>
      </x:c>
      <x:c r="G39" t="str">
        <x:v>cut PEX tubing squarely at a marked line</x:v>
      </x:c>
      <x:c r="H39" t="str">
        <x:v>PEX cutter</x:v>
      </x:c>
      <x:c r="I39" t="str">
        <x:v>red PEX tubing</x:v>
      </x:c>
      <x:c r="J39" t="str">
        <x:v>Sora 2 Pro</x:v>
      </x:c>
      <x:c r="K39" t="str">
        <x:v>Direct Natural Language</x:v>
      </x:c>
      <x:c r="L39" t="str">
        <x:v>Baseline wording only; no explicit decomposition.</x:v>
      </x:c>
      <x:c r="M39" t="str">
        <x:v>Close-up realistic instructional DIY video: cut PEX tubing squarely at a marked line. Show PEX cutter working on red PEX tubing. Hands visible, stable camera, no text overlay, neutral shop lighting.</x:v>
      </x:c>
      <x:c r="N39" s="14" t="n">
        <x:v>8</x:v>
      </x:c>
      <x:c r="O39" s="14" t="n">
        <x:v>100071</x:v>
      </x:c>
      <x:c r="P39" t="str">
        <x:v>R-D</x:v>
      </x:c>
      <x:c r="Q39" s="12" t="n">
        <x:v>4.21</x:v>
      </x:c>
      <x:c r="R39" s="12" t="n">
        <x:v>3.57</x:v>
      </x:c>
      <x:c r="S39" s="12" t="n">
        <x:v>4.06</x:v>
      </x:c>
      <x:c r="T39" s="12" t="n">
        <x:v>3.76</x:v>
      </x:c>
      <x:c r="U39" s="12" t="n">
        <x:v>3.92</x:v>
      </x:c>
      <x:c r="V39" s="12" t="n">
        <x:v>4.31</x:v>
      </x:c>
      <x:c r="W39" s="12" t="n">
        <x:f>ROUND((Q39*0.24)+(R39*0.22)+(S39*0.16)+(T39*0.18)+(U39*0.10)+(V39*0.10),2)</x:f>
        <x:v>3.95</x:v>
      </x:c>
      <x:c r="X39" t="str">
        <x:f>IF(W39&gt;=3.55,"Pass","Fail")</x:f>
        <x:v>Pass</x:v>
      </x:c>
      <x:c r="Y39" t="str">
        <x:v>contact point hidden</x:v>
      </x:c>
      <x:c r="Z39" t="str">
        <x:v>Rater note: I would keep this as a rough candidate. It communicates the step, although the failure mode makes it weaker than a real sourced clip: contact point hidden. On a small preview it might pass, but full-screen review exposes the issue. For this plumbing example, the main judgment is still whether the viewer can copy the motion.</x:v>
      </x:c>
      <x:c r="AA39" t="str">
        <x:v>Move safety language earlier in the prompt and remove cinematic camera instructions.</x:v>
      </x:c>
      <x:c r="AB39" t="str">
        <x:v>Medium</x:v>
      </x:c>
      <x:c r="AC39" t="str"/>
      <x:c r="AD39" t="str">
        <x:v>Planning dataset only; scores are plausible placeholders, not vendor claims.</x:v>
      </x:c>
    </x:row>
    <x:row r="40">
      <x:c r="A40" t="str">
        <x:v>S007-Runway-DIR</x:v>
      </x:c>
      <x:c r="B40" t="str">
        <x:v>S007</x:v>
      </x:c>
      <x:c r="C40" t="str">
        <x:v>Plumbing</x:v>
      </x:c>
      <x:c r="D40" t="str">
        <x:v>pipe prep</x:v>
      </x:c>
      <x:c r="E40" t="str">
        <x:v>cutting</x:v>
      </x:c>
      <x:c r="F40" t="n">
        <x:v>3</x:v>
      </x:c>
      <x:c r="G40" t="str">
        <x:v>cut PEX tubing squarely at a marked line</x:v>
      </x:c>
      <x:c r="H40" t="str">
        <x:v>PEX cutter</x:v>
      </x:c>
      <x:c r="I40" t="str">
        <x:v>red PEX tubing</x:v>
      </x:c>
      <x:c r="J40" t="str">
        <x:v>Runway Gen-4.5</x:v>
      </x:c>
      <x:c r="K40" t="str">
        <x:v>Direct Natural Language</x:v>
      </x:c>
      <x:c r="L40" t="str">
        <x:v>Baseline wording only; no explicit decomposition.</x:v>
      </x:c>
      <x:c r="M40" t="str">
        <x:v>Close-up realistic instructional DIY video: cut PEX tubing squarely at a marked line. Show PEX cutter working on red PEX tubing. Hands visible, stable camera, no text overlay, neutral shop lighting.</x:v>
      </x:c>
      <x:c r="N40" s="14" t="n">
        <x:v>5</x:v>
      </x:c>
      <x:c r="O40" s="14" t="n">
        <x:v>100072</x:v>
      </x:c>
      <x:c r="P40" t="str">
        <x:v>R-B</x:v>
      </x:c>
      <x:c r="Q40" s="12" t="n">
        <x:v>3.09</x:v>
      </x:c>
      <x:c r="R40" s="12" t="n">
        <x:v>3.24</x:v>
      </x:c>
      <x:c r="S40" s="12" t="n">
        <x:v>3.88</x:v>
      </x:c>
      <x:c r="T40" s="12" t="n">
        <x:v>3.76</x:v>
      </x:c>
      <x:c r="U40" s="12" t="n">
        <x:v>3.16</x:v>
      </x:c>
      <x:c r="V40" s="12" t="n">
        <x:v>3.58</x:v>
      </x:c>
      <x:c r="W40" s="12" t="n">
        <x:f>ROUND((Q40*0.24)+(R40*0.22)+(S40*0.16)+(T40*0.18)+(U40*0.10)+(V40*0.10),2)</x:f>
        <x:v>3.43</x:v>
      </x:c>
      <x:c r="X40" t="str">
        <x:f>IF(W40&gt;=3.55,"Pass","Fail")</x:f>
        <x:v>Fail</x:v>
      </x:c>
      <x:c r="Y40" t="str">
        <x:v>unsafe hand placement</x:v>
      </x:c>
      <x:c r="Z40" t="str">
        <x:v>Clip review: The clip looks like generic DIY stock footage rather than this specific step. The main problem is unsafe hand placement, and the end state is not verifiable. I would keep the same camera angle but ask for a tighter view of the contact point. The baseline prompt is likely under-specifying the tool path.</x:v>
      </x:c>
      <x:c r="AA40" t="str">
        <x:v>Ask for a static close-up and require the PEX cutter to touch the red PEX tubing before any motion starts.</x:v>
      </x:c>
      <x:c r="AB40" t="str">
        <x:v>Medium</x:v>
      </x:c>
      <x:c r="AC40" t="str"/>
      <x:c r="AD40" t="str">
        <x:v>Mock rater record for experiment design; audit against real video outputs before publication.</x:v>
      </x:c>
    </x:row>
    <x:row r="41">
      <x:c r="A41" t="str">
        <x:v>S007-Kling-DIR</x:v>
      </x:c>
      <x:c r="B41" t="str">
        <x:v>S007</x:v>
      </x:c>
      <x:c r="C41" t="str">
        <x:v>Plumbing</x:v>
      </x:c>
      <x:c r="D41" t="str">
        <x:v>pipe prep</x:v>
      </x:c>
      <x:c r="E41" t="str">
        <x:v>cutting</x:v>
      </x:c>
      <x:c r="F41" t="n">
        <x:v>3</x:v>
      </x:c>
      <x:c r="G41" t="str">
        <x:v>cut PEX tubing squarely at a marked line</x:v>
      </x:c>
      <x:c r="H41" t="str">
        <x:v>PEX cutter</x:v>
      </x:c>
      <x:c r="I41" t="str">
        <x:v>red PEX tubing</x:v>
      </x:c>
      <x:c r="J41" t="str">
        <x:v>Kling v3.0 (Replicate)</x:v>
      </x:c>
      <x:c r="K41" t="str">
        <x:v>Direct Natural Language</x:v>
      </x:c>
      <x:c r="L41" t="str">
        <x:v>Baseline wording only; no explicit decomposition.</x:v>
      </x:c>
      <x:c r="M41" t="str">
        <x:v>Close-up realistic instructional DIY video: cut PEX tubing squarely at a marked line. Show PEX cutter working on red PEX tubing. Hands visible, stable camera, no text overlay, neutral shop lighting.</x:v>
      </x:c>
      <x:c r="N41" s="14" t="n">
        <x:v>10</x:v>
      </x:c>
      <x:c r="O41" s="14" t="n">
        <x:v>100073</x:v>
      </x:c>
      <x:c r="P41" t="str">
        <x:v>R-E</x:v>
      </x:c>
      <x:c r="Q41" s="12" t="n">
        <x:v>3.55</x:v>
      </x:c>
      <x:c r="R41" s="12" t="n">
        <x:v>3.62</x:v>
      </x:c>
      <x:c r="S41" s="12" t="n">
        <x:v>2.93</x:v>
      </x:c>
      <x:c r="T41" s="12" t="n">
        <x:v>3.35</x:v>
      </x:c>
      <x:c r="U41" s="12" t="n">
        <x:v>3.47</x:v>
      </x:c>
      <x:c r="V41" s="12" t="n">
        <x:v>3.17</x:v>
      </x:c>
      <x:c r="W41" s="12" t="n">
        <x:f>ROUND((Q41*0.24)+(R41*0.22)+(S41*0.16)+(T41*0.18)+(U41*0.10)+(V41*0.10),2)</x:f>
        <x:v>3.38</x:v>
      </x:c>
      <x:c r="X41" t="str">
        <x:f>IF(W41&gt;=3.55,"Pass","Fail")</x:f>
        <x:v>Fail</x:v>
      </x:c>
      <x:c r="Y41" t="str">
        <x:v>wrong grip on tool</x:v>
      </x:c>
      <x:c r="Z41" t="str">
        <x:v>Review note: The clip looks like generic DIY stock footage rather than this specific step. The main problem is wrong grip on tool, and the end state is not verifiable. The most important fix is to show the before-and-after state without a cut. The baseline prompt is likely under-specifying the tool path.</x:v>
      </x:c>
      <x:c r="AA41" t="str">
        <x:v>Use a reference image for the PEX cutter and specify its grip/orientation in plain language.</x:v>
      </x:c>
      <x:c r="AB41" t="str">
        <x:v>High</x:v>
      </x:c>
      <x:c r="AC41" t="str"/>
      <x:c r="AD41" t="str">
        <x:v>Simulated pilot row for planning; replace with blinded ratings after generating actual clips.</x:v>
      </x:c>
    </x:row>
    <x:row r="42">
      <x:c r="A42" t="str">
        <x:v>S007-Pika-DIR</x:v>
      </x:c>
      <x:c r="B42" t="str">
        <x:v>S007</x:v>
      </x:c>
      <x:c r="C42" t="str">
        <x:v>Plumbing</x:v>
      </x:c>
      <x:c r="D42" t="str">
        <x:v>pipe prep</x:v>
      </x:c>
      <x:c r="E42" t="str">
        <x:v>cutting</x:v>
      </x:c>
      <x:c r="F42" t="n">
        <x:v>3</x:v>
      </x:c>
      <x:c r="G42" t="str">
        <x:v>cut PEX tubing squarely at a marked line</x:v>
      </x:c>
      <x:c r="H42" t="str">
        <x:v>PEX cutter</x:v>
      </x:c>
      <x:c r="I42" t="str">
        <x:v>red PEX tubing</x:v>
      </x:c>
      <x:c r="J42" t="str">
        <x:v>Pika 2.2</x:v>
      </x:c>
      <x:c r="K42" t="str">
        <x:v>Direct Natural Language</x:v>
      </x:c>
      <x:c r="L42" t="str">
        <x:v>Baseline wording only; no explicit decomposition.</x:v>
      </x:c>
      <x:c r="M42" t="str">
        <x:v>Close-up realistic instructional DIY video: cut PEX tubing squarely at a marked line. Show PEX cutter working on red PEX tubing. Hands visible, stable camera, no text overlay, neutral shop lighting.</x:v>
      </x:c>
      <x:c r="N42" s="14" t="n">
        <x:v>5</x:v>
      </x:c>
      <x:c r="O42" s="14" t="n">
        <x:v>100074</x:v>
      </x:c>
      <x:c r="P42" t="str">
        <x:v>R-B</x:v>
      </x:c>
      <x:c r="Q42" s="12" t="n">
        <x:v>3.1</x:v>
      </x:c>
      <x:c r="R42" s="12" t="n">
        <x:v>3.16</x:v>
      </x:c>
      <x:c r="S42" s="12" t="n">
        <x:v>3.59</x:v>
      </x:c>
      <x:c r="T42" s="12" t="n">
        <x:v>3.69</x:v>
      </x:c>
      <x:c r="U42" s="12" t="n">
        <x:v>3.09</x:v>
      </x:c>
      <x:c r="V42" s="12" t="n">
        <x:v>3.47</x:v>
      </x:c>
      <x:c r="W42" s="12" t="n">
        <x:f>ROUND((Q42*0.24)+(R42*0.22)+(S42*0.16)+(T42*0.18)+(U42*0.10)+(V42*0.10),2)</x:f>
        <x:v>3.33</x:v>
      </x:c>
      <x:c r="X42" t="str">
        <x:f>IF(W42&gt;=3.55,"Pass","Fail")</x:f>
        <x:v>Fail</x:v>
      </x:c>
      <x:c r="Y42" t="str">
        <x:v>tool floats near object</x:v>
      </x:c>
      <x:c r="Z42" t="str">
        <x:v>Rater note: The generated clip loses the procedure. I would re-run with a reference frame and a stricter Action-Object-Tool prompt. The issue is subtle visually, but it matters because the clip is supposed to teach the technique. The baseline prompt is likely under-specifying the tool path.</x:v>
      </x:c>
      <x:c r="AA42" t="str">
        <x:v>Ask for a static close-up and require the PEX cutter to touch the red PEX tubing before any motion starts.</x:v>
      </x:c>
      <x:c r="AB42" t="str">
        <x:v>Medium-High</x:v>
      </x:c>
      <x:c r="AC42" t="str"/>
      <x:c r="AD42" t="str">
        <x:v>Mock rater record for experiment design; audit against real video outputs before publication.</x:v>
      </x:c>
    </x:row>
    <x:row r="43">
      <x:c r="A43" t="str">
        <x:v>S007-Vidu-DIR</x:v>
      </x:c>
      <x:c r="B43" t="str">
        <x:v>S007</x:v>
      </x:c>
      <x:c r="C43" t="str">
        <x:v>Plumbing</x:v>
      </x:c>
      <x:c r="D43" t="str">
        <x:v>pipe prep</x:v>
      </x:c>
      <x:c r="E43" t="str">
        <x:v>cutting</x:v>
      </x:c>
      <x:c r="F43" t="n">
        <x:v>3</x:v>
      </x:c>
      <x:c r="G43" t="str">
        <x:v>cut PEX tubing squarely at a marked line</x:v>
      </x:c>
      <x:c r="H43" t="str">
        <x:v>PEX cutter</x:v>
      </x:c>
      <x:c r="I43" t="str">
        <x:v>red PEX tubing</x:v>
      </x:c>
      <x:c r="J43" t="str">
        <x:v>Vidu 2.0</x:v>
      </x:c>
      <x:c r="K43" t="str">
        <x:v>Direct Natural Language</x:v>
      </x:c>
      <x:c r="L43" t="str">
        <x:v>Baseline wording only; no explicit decomposition.</x:v>
      </x:c>
      <x:c r="M43" t="str">
        <x:v>Close-up realistic instructional DIY video: cut PEX tubing squarely at a marked line. Show PEX cutter working on red PEX tubing. Hands visible, stable camera, no text overlay, neutral shop lighting.</x:v>
      </x:c>
      <x:c r="N43" s="14" t="n">
        <x:v>5</x:v>
      </x:c>
      <x:c r="O43" s="14" t="n">
        <x:v>100075</x:v>
      </x:c>
      <x:c r="P43" t="str">
        <x:v>R-A</x:v>
      </x:c>
      <x:c r="Q43" s="12" t="n">
        <x:v>3.09</x:v>
      </x:c>
      <x:c r="R43" s="12" t="n">
        <x:v>3.33</x:v>
      </x:c>
      <x:c r="S43" s="12" t="n">
        <x:v>3.3</x:v>
      </x:c>
      <x:c r="T43" s="12" t="n">
        <x:v>2.78</x:v>
      </x:c>
      <x:c r="U43" s="12" t="n">
        <x:v>2.83</x:v>
      </x:c>
      <x:c r="V43" s="12" t="n">
        <x:v>2.87</x:v>
      </x:c>
      <x:c r="W43" s="12" t="n">
        <x:f>ROUND((Q43*0.24)+(R43*0.22)+(S43*0.16)+(T43*0.18)+(U43*0.10)+(V43*0.10),2)</x:f>
        <x:v>3.07</x:v>
      </x:c>
      <x:c r="X43" t="str">
        <x:f>IF(W43&gt;=3.55,"Pass","Fail")</x:f>
        <x:v>Fail</x:v>
      </x:c>
      <x:c r="Y43" t="str">
        <x:v>extra phantom tool</x:v>
      </x:c>
      <x:c r="Z43" t="str">
        <x:v>Clip review: A reviewer would likely reject this. It may be visually attractive, but the tool/object relationship breaks during the important moment. The prompt should prioritize hand path over cinematic lighting. The baseline prompt is likely under-specifying the tool path.</x:v>
      </x:c>
      <x:c r="AA43" t="str">
        <x:v>Use a reference image for the PEX cutter and specify its grip/orientation in plain language.</x:v>
      </x:c>
      <x:c r="AB43" t="str">
        <x:v>High</x:v>
      </x:c>
      <x:c r="AC43" t="str"/>
      <x:c r="AD43" t="str">
        <x:v>Mock rater record for experiment design; audit against real video outputs before publication.</x:v>
      </x:c>
    </x:row>
    <x:row r="44">
      <x:c r="A44" t="str">
        <x:v>S008-Veo-STR</x:v>
      </x:c>
      <x:c r="B44" t="str">
        <x:v>S008</x:v>
      </x:c>
      <x:c r="C44" t="str">
        <x:v>Plumbing</x:v>
      </x:c>
      <x:c r="D44" t="str">
        <x:v>pipe prep</x:v>
      </x:c>
      <x:c r="E44" t="str">
        <x:v>deburring</x:v>
      </x:c>
      <x:c r="F44" t="n">
        <x:v>3</x:v>
      </x:c>
      <x:c r="G44" t="str">
        <x:v>deburr the inside edge of a cut copper pipe</x:v>
      </x:c>
      <x:c r="H44" t="str">
        <x:v>deburring tool</x:v>
      </x:c>
      <x:c r="I44" t="str">
        <x:v>copper pipe end</x:v>
      </x:c>
      <x:c r="J44" t="str">
        <x:v>Veo 3.1</x:v>
      </x:c>
      <x:c r="K44" t="str">
        <x:v>Structured Action-Object-Tool</x:v>
      </x:c>
      <x:c r="L44" t="str">
        <x:v>Action, tool, object, grip, contact point, start/end states.</x:v>
      </x:c>
      <x:c r="M44" t="str">
        <x:v>Close-up realistic instructional DIY video: deburr the inside edge of a cut copper pipe. Show deburring tool working on copper pipe end. Hands visible, stable camera, no text overlay, neutral shop lighting. Action=deburring; tool=deburring tool; object/material=copper pipe end; show tool-to-object contact; start state, motion, and finished state all visible.</x:v>
      </x:c>
      <x:c r="N44" s="14" t="n">
        <x:v>8</x:v>
      </x:c>
      <x:c r="O44" s="14" t="n">
        <x:v>100080</x:v>
      </x:c>
      <x:c r="P44" t="str">
        <x:v>R-A</x:v>
      </x:c>
      <x:c r="Q44" s="12" t="n">
        <x:v>4.43</x:v>
      </x:c>
      <x:c r="R44" s="12" t="n">
        <x:v>4.21</x:v>
      </x:c>
      <x:c r="S44" s="12" t="n">
        <x:v>4.11</x:v>
      </x:c>
      <x:c r="T44" s="12" t="n">
        <x:v>3.91</x:v>
      </x:c>
      <x:c r="U44" s="12" t="n">
        <x:v>4.6</x:v>
      </x:c>
      <x:c r="V44" s="12" t="n">
        <x:v>4.02</x:v>
      </x:c>
      <x:c r="W44" s="12" t="n">
        <x:f>ROUND((Q44*0.24)+(R44*0.22)+(S44*0.16)+(T44*0.18)+(U44*0.10)+(V44*0.10),2)</x:f>
        <x:v>4.21</x:v>
      </x:c>
      <x:c r="X44" t="str">
        <x:f>IF(W44&gt;=3.55,"Pass","Fail")</x:f>
        <x:v>Pass</x:v>
      </x:c>
      <x:c r="Y44" t="str">
        <x:v>motion slightly compressed</x:v>
      </x:c>
      <x:c r="Z44" t="str">
        <x:v>QA note: Best part is the pacing: it gives enough time to understand deburring without turning into a beauty shot. Minor issue: occasional extra hand. The next prompt should slow the final second instead of adding more scene detail. For this plumbing example, the main judgment is still whether the viewer can copy the motion.</x:v>
      </x:c>
      <x:c r="AA44" t="str">
        <x:v>Move safety language earlier in the prompt and remove cinematic camera instructions.</x:v>
      </x:c>
      <x:c r="AB44" t="str">
        <x:v>Medium-High</x:v>
      </x:c>
      <x:c r="AC44" t="str"/>
      <x:c r="AD44" t="str">
        <x:v>Simulated pilot row for planning; replace with blinded ratings after generating actual clips.</x:v>
      </x:c>
    </x:row>
    <x:row r="45">
      <x:c r="A45" t="str">
        <x:v>S008-Sora-STR</x:v>
      </x:c>
      <x:c r="B45" t="str">
        <x:v>S008</x:v>
      </x:c>
      <x:c r="C45" t="str">
        <x:v>Plumbing</x:v>
      </x:c>
      <x:c r="D45" t="str">
        <x:v>pipe prep</x:v>
      </x:c>
      <x:c r="E45" t="str">
        <x:v>deburring</x:v>
      </x:c>
      <x:c r="F45" t="n">
        <x:v>3</x:v>
      </x:c>
      <x:c r="G45" t="str">
        <x:v>deburr the inside edge of a cut copper pipe</x:v>
      </x:c>
      <x:c r="H45" t="str">
        <x:v>deburring tool</x:v>
      </x:c>
      <x:c r="I45" t="str">
        <x:v>copper pipe end</x:v>
      </x:c>
      <x:c r="J45" t="str">
        <x:v>Sora 2 Pro</x:v>
      </x:c>
      <x:c r="K45" t="str">
        <x:v>Structured Action-Object-Tool</x:v>
      </x:c>
      <x:c r="L45" t="str">
        <x:v>Action, tool, object, grip, contact point, start/end states.</x:v>
      </x:c>
      <x:c r="M45" t="str">
        <x:v>Close-up realistic instructional DIY video: deburr the inside edge of a cut copper pipe. Show deburring tool working on copper pipe end. Hands visible, stable camera, no text overlay, neutral shop lighting. Action=deburring; tool=deburring tool; object/material=copper pipe end; show tool-to-object contact; start state, motion, and finished state all visible.</x:v>
      </x:c>
      <x:c r="N45" s="14" t="n">
        <x:v>8</x:v>
      </x:c>
      <x:c r="O45" s="14" t="n">
        <x:v>100081</x:v>
      </x:c>
      <x:c r="P45" t="str">
        <x:v>R-E</x:v>
      </x:c>
      <x:c r="Q45" s="12" t="n">
        <x:v>3.85</x:v>
      </x:c>
      <x:c r="R45" s="12" t="n">
        <x:v>4.47</x:v>
      </x:c>
      <x:c r="S45" s="12" t="n">
        <x:v>4.54</x:v>
      </x:c>
      <x:c r="T45" s="12" t="n">
        <x:v>3.9</x:v>
      </x:c>
      <x:c r="U45" s="12" t="n">
        <x:v>3.9</x:v>
      </x:c>
      <x:c r="V45" s="12" t="n">
        <x:v>4.52</x:v>
      </x:c>
      <x:c r="W45" s="12" t="n">
        <x:f>ROUND((Q45*0.24)+(R45*0.22)+(S45*0.16)+(T45*0.18)+(U45*0.10)+(V45*0.10),2)</x:f>
        <x:v>4.18</x:v>
      </x:c>
      <x:c r="X45" t="str">
        <x:f>IF(W45&gt;=3.55,"Pass","Fail")</x:f>
        <x:v>Pass</x:v>
      </x:c>
      <x:c r="Y45" t="str">
        <x:v>contact point hidden</x:v>
      </x:c>
      <x:c r="Z45" t="str">
        <x:v>Human check: The clip feels like a usable shop-demo take. I can see the hand position and the copper pipe end; it just needs a slightly longer hold on the final state. I marked it down for the key moment rather than the opening setup. For this plumbing example, the main judgment is still whether the viewer can copy the motion.</x:v>
      </x:c>
      <x:c r="AA45" t="str">
        <x:v>Ask for a static close-up and require the deburring tool to touch the copper pipe end before any motion starts.</x:v>
      </x:c>
      <x:c r="AB45" t="str">
        <x:v>Medium</x:v>
      </x:c>
      <x:c r="AC45" t="str"/>
      <x:c r="AD45" t="str">
        <x:v>Synthetic benchmark entry; generated clip URL should be filled after API run.</x:v>
      </x:c>
    </x:row>
    <x:row r="46">
      <x:c r="A46" t="str">
        <x:v>S008-Runway-STR</x:v>
      </x:c>
      <x:c r="B46" t="str">
        <x:v>S008</x:v>
      </x:c>
      <x:c r="C46" t="str">
        <x:v>Plumbing</x:v>
      </x:c>
      <x:c r="D46" t="str">
        <x:v>pipe prep</x:v>
      </x:c>
      <x:c r="E46" t="str">
        <x:v>deburring</x:v>
      </x:c>
      <x:c r="F46" t="n">
        <x:v>3</x:v>
      </x:c>
      <x:c r="G46" t="str">
        <x:v>deburr the inside edge of a cut copper pipe</x:v>
      </x:c>
      <x:c r="H46" t="str">
        <x:v>deburring tool</x:v>
      </x:c>
      <x:c r="I46" t="str">
        <x:v>copper pipe end</x:v>
      </x:c>
      <x:c r="J46" t="str">
        <x:v>Runway Gen-4.5</x:v>
      </x:c>
      <x:c r="K46" t="str">
        <x:v>Structured Action-Object-Tool</x:v>
      </x:c>
      <x:c r="L46" t="str">
        <x:v>Action, tool, object, grip, contact point, start/end states.</x:v>
      </x:c>
      <x:c r="M46" t="str">
        <x:v>Close-up realistic instructional DIY video: deburr the inside edge of a cut copper pipe. Show deburring tool working on copper pipe end. Hands visible, stable camera, no text overlay, neutral shop lighting. Action=deburring; tool=deburring tool; object/material=copper pipe end; show tool-to-object contact; start state, motion, and finished state all visible.</x:v>
      </x:c>
      <x:c r="N46" s="14" t="n">
        <x:v>5</x:v>
      </x:c>
      <x:c r="O46" s="14" t="n">
        <x:v>100082</x:v>
      </x:c>
      <x:c r="P46" t="str">
        <x:v>R-D</x:v>
      </x:c>
      <x:c r="Q46" s="12" t="n">
        <x:v>3.76</x:v>
      </x:c>
      <x:c r="R46" s="12" t="n">
        <x:v>3.56</x:v>
      </x:c>
      <x:c r="S46" s="12" t="n">
        <x:v>4.17</x:v>
      </x:c>
      <x:c r="T46" s="12" t="n">
        <x:v>3.15</x:v>
      </x:c>
      <x:c r="U46" s="12" t="n">
        <x:v>3.64</x:v>
      </x:c>
      <x:c r="V46" s="12" t="n">
        <x:v>4.33</x:v>
      </x:c>
      <x:c r="W46" s="12" t="n">
        <x:f>ROUND((Q46*0.24)+(R46*0.22)+(S46*0.16)+(T46*0.18)+(U46*0.10)+(V46*0.10),2)</x:f>
        <x:v>3.72</x:v>
      </x:c>
      <x:c r="X46" t="str">
        <x:f>IF(W46&gt;=3.55,"Pass","Fail")</x:f>
        <x:v>Pass</x:v>
      </x:c>
      <x:c r="Y46" t="str">
        <x:v>contact point hidden</x:v>
      </x:c>
      <x:c r="Z46" t="str">
        <x:v>Review note: I would keep this as a rough candidate. It communicates the step, although the failure mode makes it weaker than a real sourced clip: contact point hidden. I would keep the same camera angle but ask for a tighter view of the contact point. For this plumbing example, the main judgment is still whether the viewer can copy the motion.</x:v>
      </x:c>
      <x:c r="AA46" t="str">
        <x:v>Move safety language earlier in the prompt and remove cinematic camera instructions.</x:v>
      </x:c>
      <x:c r="AB46" t="str">
        <x:v>High</x:v>
      </x:c>
      <x:c r="AC46" t="str"/>
      <x:c r="AD46" t="str">
        <x:v>Synthetic benchmark entry; generated clip URL should be filled after API run.</x:v>
      </x:c>
    </x:row>
    <x:row r="47">
      <x:c r="A47" t="str">
        <x:v>S008-Kling-STR</x:v>
      </x:c>
      <x:c r="B47" t="str">
        <x:v>S008</x:v>
      </x:c>
      <x:c r="C47" t="str">
        <x:v>Plumbing</x:v>
      </x:c>
      <x:c r="D47" t="str">
        <x:v>pipe prep</x:v>
      </x:c>
      <x:c r="E47" t="str">
        <x:v>deburring</x:v>
      </x:c>
      <x:c r="F47" t="n">
        <x:v>3</x:v>
      </x:c>
      <x:c r="G47" t="str">
        <x:v>deburr the inside edge of a cut copper pipe</x:v>
      </x:c>
      <x:c r="H47" t="str">
        <x:v>deburring tool</x:v>
      </x:c>
      <x:c r="I47" t="str">
        <x:v>copper pipe end</x:v>
      </x:c>
      <x:c r="J47" t="str">
        <x:v>Kling v3.0 (Replicate)</x:v>
      </x:c>
      <x:c r="K47" t="str">
        <x:v>Structured Action-Object-Tool</x:v>
      </x:c>
      <x:c r="L47" t="str">
        <x:v>Action, tool, object, grip, contact point, start/end states.</x:v>
      </x:c>
      <x:c r="M47" t="str">
        <x:v>Close-up realistic instructional DIY video: deburr the inside edge of a cut copper pipe. Show deburring tool working on copper pipe end. Hands visible, stable camera, no text overlay, neutral shop lighting. Action=deburring; tool=deburring tool; object/material=copper pipe end; show tool-to-object contact; start state, motion, and finished state all visible.</x:v>
      </x:c>
      <x:c r="N47" s="14" t="n">
        <x:v>10</x:v>
      </x:c>
      <x:c r="O47" s="14" t="n">
        <x:v>100083</x:v>
      </x:c>
      <x:c r="P47" t="str">
        <x:v>R-A</x:v>
      </x:c>
      <x:c r="Q47" s="12" t="n">
        <x:v>3.25</x:v>
      </x:c>
      <x:c r="R47" s="12" t="n">
        <x:v>3.59</x:v>
      </x:c>
      <x:c r="S47" s="12" t="n">
        <x:v>3.75</x:v>
      </x:c>
      <x:c r="T47" s="12" t="n">
        <x:v>3.14</x:v>
      </x:c>
      <x:c r="U47" s="12" t="n">
        <x:v>3.83</x:v>
      </x:c>
      <x:c r="V47" s="12" t="n">
        <x:v>4.24</x:v>
      </x:c>
      <x:c r="W47" s="12" t="n">
        <x:f>ROUND((Q47*0.24)+(R47*0.22)+(S47*0.16)+(T47*0.18)+(U47*0.10)+(V47*0.10),2)</x:f>
        <x:v>3.54</x:v>
      </x:c>
      <x:c r="X47" t="str">
        <x:f>IF(W47&gt;=3.55,"Pass","Fail")</x:f>
        <x:v>Fail</x:v>
      </x:c>
      <x:c r="Y47" t="str">
        <x:v>wrong grip on tool</x:v>
      </x:c>
      <x:c r="Z47" t="str">
        <x:v>Human check: This should fail the instructional bar. The model gestures toward the task, but the failure mode prevents a learner from trusting the technique: wrong grip on tool. This would be safer as a reference-aided run than a text-only run. For this plumbing example, the main judgment is still whether the viewer can copy the motion.</x:v>
      </x:c>
      <x:c r="AA47" t="str">
        <x:v>Use a reference image for the deburring tool and specify its grip/orientation in plain language.</x:v>
      </x:c>
      <x:c r="AB47" t="str">
        <x:v>Medium-High</x:v>
      </x:c>
      <x:c r="AC47" t="str"/>
      <x:c r="AD47" t="str">
        <x:v>Planning dataset only; scores are plausible placeholders, not vendor claims.</x:v>
      </x:c>
    </x:row>
    <x:row r="48">
      <x:c r="A48" t="str">
        <x:v>S008-Pika-STR</x:v>
      </x:c>
      <x:c r="B48" t="str">
        <x:v>S008</x:v>
      </x:c>
      <x:c r="C48" t="str">
        <x:v>Plumbing</x:v>
      </x:c>
      <x:c r="D48" t="str">
        <x:v>pipe prep</x:v>
      </x:c>
      <x:c r="E48" t="str">
        <x:v>deburring</x:v>
      </x:c>
      <x:c r="F48" t="n">
        <x:v>3</x:v>
      </x:c>
      <x:c r="G48" t="str">
        <x:v>deburr the inside edge of a cut copper pipe</x:v>
      </x:c>
      <x:c r="H48" t="str">
        <x:v>deburring tool</x:v>
      </x:c>
      <x:c r="I48" t="str">
        <x:v>copper pipe end</x:v>
      </x:c>
      <x:c r="J48" t="str">
        <x:v>Pika 2.2</x:v>
      </x:c>
      <x:c r="K48" t="str">
        <x:v>Structured Action-Object-Tool</x:v>
      </x:c>
      <x:c r="L48" t="str">
        <x:v>Action, tool, object, grip, contact point, start/end states.</x:v>
      </x:c>
      <x:c r="M48" t="str">
        <x:v>Close-up realistic instructional DIY video: deburr the inside edge of a cut copper pipe. Show deburring tool working on copper pipe end. Hands visible, stable camera, no text overlay, neutral shop lighting. Action=deburring; tool=deburring tool; object/material=copper pipe end; show tool-to-object contact; start state, motion, and finished state all visible.</x:v>
      </x:c>
      <x:c r="N48" s="14" t="n">
        <x:v>5</x:v>
      </x:c>
      <x:c r="O48" s="14" t="n">
        <x:v>100084</x:v>
      </x:c>
      <x:c r="P48" t="str">
        <x:v>R-B</x:v>
      </x:c>
      <x:c r="Q48" s="12" t="n">
        <x:v>3.24</x:v>
      </x:c>
      <x:c r="R48" s="12" t="n">
        <x:v>3.55</x:v>
      </x:c>
      <x:c r="S48" s="12" t="n">
        <x:v>3.01</x:v>
      </x:c>
      <x:c r="T48" s="12" t="n">
        <x:v>3.56</x:v>
      </x:c>
      <x:c r="U48" s="12" t="n">
        <x:v>3.33</x:v>
      </x:c>
      <x:c r="V48" s="12" t="n">
        <x:v>3.28</x:v>
      </x:c>
      <x:c r="W48" s="12" t="n">
        <x:f>ROUND((Q48*0.24)+(R48*0.22)+(S48*0.16)+(T48*0.18)+(U48*0.10)+(V48*0.10),2)</x:f>
        <x:v>3.34</x:v>
      </x:c>
      <x:c r="X48" t="str">
        <x:f>IF(W48&gt;=3.55,"Pass","Fail")</x:f>
        <x:v>Fail</x:v>
      </x:c>
      <x:c r="Y48" t="str">
        <x:v>action starts too late</x:v>
      </x:c>
      <x:c r="Z48" t="str">
        <x:v>Review note: This should fail the instructional bar. The model gestures toward the task, but the failure mode prevents a learner from trusting the technique: action starts too late. The next prompt should slow the final second instead of adding more scene detail. For this plumbing example, the main judgment is still whether the viewer can copy the motion.</x:v>
      </x:c>
      <x:c r="AA48" t="str">
        <x:v>Break the action into start, contact, movement, and finish; ban extra tools and hand morphing.</x:v>
      </x:c>
      <x:c r="AB48" t="str">
        <x:v>Medium</x:v>
      </x:c>
      <x:c r="AC48" t="str"/>
      <x:c r="AD48" t="str">
        <x:v>Synthetic benchmark entry; generated clip URL should be filled after API run.</x:v>
      </x:c>
    </x:row>
    <x:row r="49">
      <x:c r="A49" t="str">
        <x:v>S008-Vidu-STR</x:v>
      </x:c>
      <x:c r="B49" t="str">
        <x:v>S008</x:v>
      </x:c>
      <x:c r="C49" t="str">
        <x:v>Plumbing</x:v>
      </x:c>
      <x:c r="D49" t="str">
        <x:v>pipe prep</x:v>
      </x:c>
      <x:c r="E49" t="str">
        <x:v>deburring</x:v>
      </x:c>
      <x:c r="F49" t="n">
        <x:v>3</x:v>
      </x:c>
      <x:c r="G49" t="str">
        <x:v>deburr the inside edge of a cut copper pipe</x:v>
      </x:c>
      <x:c r="H49" t="str">
        <x:v>deburring tool</x:v>
      </x:c>
      <x:c r="I49" t="str">
        <x:v>copper pipe end</x:v>
      </x:c>
      <x:c r="J49" t="str">
        <x:v>Vidu 2.0</x:v>
      </x:c>
      <x:c r="K49" t="str">
        <x:v>Structured Action-Object-Tool</x:v>
      </x:c>
      <x:c r="L49" t="str">
        <x:v>Action, tool, object, grip, contact point, start/end states.</x:v>
      </x:c>
      <x:c r="M49" t="str">
        <x:v>Close-up realistic instructional DIY video: deburr the inside edge of a cut copper pipe. Show deburring tool working on copper pipe end. Hands visible, stable camera, no text overlay, neutral shop lighting. Action=deburring; tool=deburring tool; object/material=copper pipe end; show tool-to-object contact; start state, motion, and finished state all visible.</x:v>
      </x:c>
      <x:c r="N49" s="14" t="n">
        <x:v>5</x:v>
      </x:c>
      <x:c r="O49" s="14" t="n">
        <x:v>100085</x:v>
      </x:c>
      <x:c r="P49" t="str">
        <x:v>R-A</x:v>
      </x:c>
      <x:c r="Q49" s="12" t="n">
        <x:v>2.9</x:v>
      </x:c>
      <x:c r="R49" s="12" t="n">
        <x:v>3.2</x:v>
      </x:c>
      <x:c r="S49" s="12" t="n">
        <x:v>3.49</x:v>
      </x:c>
      <x:c r="T49" s="12" t="n">
        <x:v>3.2</x:v>
      </x:c>
      <x:c r="U49" s="12" t="n">
        <x:v>3.23</x:v>
      </x:c>
      <x:c r="V49" s="12" t="n">
        <x:v>3.48</x:v>
      </x:c>
      <x:c r="W49" s="12" t="n">
        <x:f>ROUND((Q49*0.24)+(R49*0.22)+(S49*0.16)+(T49*0.18)+(U49*0.10)+(V49*0.10),2)</x:f>
        <x:v>3.21</x:v>
      </x:c>
      <x:c r="X49" t="str">
        <x:f>IF(W49&gt;=3.55,"Pass","Fail")</x:f>
        <x:v>Fail</x:v>
      </x:c>
      <x:c r="Y49" t="str">
        <x:v>material looks wrong</x:v>
      </x:c>
      <x:c r="Z49" t="str">
        <x:v>Rater note: A reviewer would likely reject this. It may be visually attractive, but the tool/object relationship breaks during the important moment. This reads better as a teaser than as an instructional clip. For this plumbing example, the main judgment is still whether the viewer can copy the motion.</x:v>
      </x:c>
      <x:c r="AA49" t="str">
        <x:v>Move safety language earlier in the prompt and remove cinematic camera instructions.</x:v>
      </x:c>
      <x:c r="AB49" t="str">
        <x:v>High</x:v>
      </x:c>
      <x:c r="AC49" t="str"/>
      <x:c r="AD49" t="str">
        <x:v>Synthetic benchmark entry; generated clip URL should be filled after API run.</x:v>
      </x:c>
    </x:row>
    <x:row r="50">
      <x:c r="A50" t="str">
        <x:v>S009-Veo-MET</x:v>
      </x:c>
      <x:c r="B50" t="str">
        <x:v>S009</x:v>
      </x:c>
      <x:c r="C50" t="str">
        <x:v>Plumbing</x:v>
      </x:c>
      <x:c r="D50" t="str">
        <x:v>faucet install</x:v>
      </x:c>
      <x:c r="E50" t="str">
        <x:v>placing</x:v>
      </x:c>
      <x:c r="F50" t="n">
        <x:v>2</x:v>
      </x:c>
      <x:c r="G50" t="str">
        <x:v>seat a rubber gasket under a faucet base</x:v>
      </x:c>
      <x:c r="H50" t="str">
        <x:v>rubber gasket</x:v>
      </x:c>
      <x:c r="I50" t="str">
        <x:v>faucet base, sink deck</x:v>
      </x:c>
      <x:c r="J50" t="str">
        <x:v>Veo 3.1</x:v>
      </x:c>
      <x:c r="K50" t="str">
        <x:v>Metadata-Enriched</x:v>
      </x:c>
      <x:c r="L50" t="str">
        <x:v>Uses clipDescription, clipSummary, toolNames, suppliesNames, processTechniques, safetyEquipment.</x:v>
      </x:c>
      <x:c r="M50" t="str">
        <x:v>Close-up realistic instructional DIY video: seat a rubber gasket under a faucet base. Show rubber gasket working on faucet base, sink deck. Hands visible, stable camera, no text overlay, neutral shop lighting. clipDescription='seat a rubber gasket under a faucet base'. clipSummary='one practical repair step'. toolNames='rubber gasket'. suppliesNames='faucet base, sink deck'. processTechnique='placing'. Safety cue: use normal homeowner precautions and avoid risky shortcuts.</x:v>
      </x:c>
      <x:c r="N50" s="14" t="n">
        <x:v>8</x:v>
      </x:c>
      <x:c r="O50" s="14" t="n">
        <x:v>100090</x:v>
      </x:c>
      <x:c r="P50" t="str">
        <x:v>R-E</x:v>
      </x:c>
      <x:c r="Q50" s="12" t="n">
        <x:v>4.32</x:v>
      </x:c>
      <x:c r="R50" s="12" t="n">
        <x:v>4.02</x:v>
      </x:c>
      <x:c r="S50" s="12" t="n">
        <x:v>4.85</x:v>
      </x:c>
      <x:c r="T50" s="12" t="n">
        <x:v>4.16</x:v>
      </x:c>
      <x:c r="U50" s="12" t="n">
        <x:v>3.9</x:v>
      </x:c>
      <x:c r="V50" s="12" t="n">
        <x:v>4.78</x:v>
      </x:c>
      <x:c r="W50" s="12" t="n">
        <x:f>ROUND((Q50*0.24)+(R50*0.22)+(S50*0.16)+(T50*0.18)+(U50*0.10)+(V50*0.10),2)</x:f>
        <x:v>4.31</x:v>
      </x:c>
      <x:c r="X50" t="str">
        <x:f>IF(W50&gt;=3.55,"Pass","Fail")</x:f>
        <x:v>Pass</x:v>
      </x:c>
      <x:c r="Y50" t="str">
        <x:v>endpoint not visible</x:v>
      </x:c>
      <x:c r="Z50" t="str">
        <x:v>QA note: Best part is the pacing: it gives enough time to understand placing without turning into a beauty shot. Minor issue: over-polished camera move. The most important fix is to show the before-and-after state without a cut. For this plumbing example, the main judgment is still whether the viewer can copy the motion.</x:v>
      </x:c>
      <x:c r="AA50" t="str">
        <x:v>Specify the exact contact point and do not allow the hand to cover it.</x:v>
      </x:c>
      <x:c r="AB50" t="str">
        <x:v>Medium</x:v>
      </x:c>
      <x:c r="AC50" t="str"/>
      <x:c r="AD50" t="str">
        <x:v>Synthetic benchmark entry; generated clip URL should be filled after API run.</x:v>
      </x:c>
    </x:row>
    <x:row r="51">
      <x:c r="A51" t="str">
        <x:v>S009-Sora-MET</x:v>
      </x:c>
      <x:c r="B51" t="str">
        <x:v>S009</x:v>
      </x:c>
      <x:c r="C51" t="str">
        <x:v>Plumbing</x:v>
      </x:c>
      <x:c r="D51" t="str">
        <x:v>faucet install</x:v>
      </x:c>
      <x:c r="E51" t="str">
        <x:v>placing</x:v>
      </x:c>
      <x:c r="F51" t="n">
        <x:v>2</x:v>
      </x:c>
      <x:c r="G51" t="str">
        <x:v>seat a rubber gasket under a faucet base</x:v>
      </x:c>
      <x:c r="H51" t="str">
        <x:v>rubber gasket</x:v>
      </x:c>
      <x:c r="I51" t="str">
        <x:v>faucet base, sink deck</x:v>
      </x:c>
      <x:c r="J51" t="str">
        <x:v>Sora 2 Pro</x:v>
      </x:c>
      <x:c r="K51" t="str">
        <x:v>Metadata-Enriched</x:v>
      </x:c>
      <x:c r="L51" t="str">
        <x:v>Uses clipDescription, clipSummary, toolNames, suppliesNames, processTechniques, safetyEquipment.</x:v>
      </x:c>
      <x:c r="M51" t="str">
        <x:v>Close-up realistic instructional DIY video: seat a rubber gasket under a faucet base. Show rubber gasket working on faucet base, sink deck. Hands visible, stable camera, no text overlay, neutral shop lighting. clipDescription='seat a rubber gasket under a faucet base'. clipSummary='one practical repair step'. toolNames='rubber gasket'. suppliesNames='faucet base, sink deck'. processTechnique='placing'. Safety cue: use normal homeowner precautions and avoid risky shortcuts.</x:v>
      </x:c>
      <x:c r="N51" s="14" t="n">
        <x:v>8</x:v>
      </x:c>
      <x:c r="O51" s="14" t="n">
        <x:v>100091</x:v>
      </x:c>
      <x:c r="P51" t="str">
        <x:v>R-A</x:v>
      </x:c>
      <x:c r="Q51" s="12" t="n">
        <x:v>3.74</x:v>
      </x:c>
      <x:c r="R51" s="12" t="n">
        <x:v>4.29</x:v>
      </x:c>
      <x:c r="S51" s="12" t="n">
        <x:v>4.57</x:v>
      </x:c>
      <x:c r="T51" s="12" t="n">
        <x:v>4.49</x:v>
      </x:c>
      <x:c r="U51" s="12" t="n">
        <x:v>3.99</x:v>
      </x:c>
      <x:c r="V51" s="12" t="n">
        <x:v>4.15</x:v>
      </x:c>
      <x:c r="W51" s="12" t="n">
        <x:f>ROUND((Q51*0.24)+(R51*0.22)+(S51*0.16)+(T51*0.18)+(U51*0.10)+(V51*0.10),2)</x:f>
        <x:v>4.19</x:v>
      </x:c>
      <x:c r="X51" t="str">
        <x:f>IF(W51&gt;=3.55,"Pass","Fail")</x:f>
        <x:v>Pass</x:v>
      </x:c>
      <x:c r="Y51" t="str">
        <x:v>contact point hidden</x:v>
      </x:c>
      <x:c r="Z51" t="str">
        <x:v>Human check: The clip feels like a usable shop-demo take. I can see the hand position and the faucet base, sink deck; it just needs a slightly longer hold on the final state. The next prompt should slow the final second instead of adding more scene detail. For this plumbing example, the main judgment is still whether the viewer can copy the motion.</x:v>
      </x:c>
      <x:c r="AA51" t="str">
        <x:v>Use sequential context only for continuity, not for adding previous/next steps into the frame.</x:v>
      </x:c>
      <x:c r="AB51" t="str">
        <x:v>High</x:v>
      </x:c>
      <x:c r="AC51" t="str"/>
      <x:c r="AD51" t="str">
        <x:v>Simulated pilot row for planning; replace with blinded ratings after generating actual clips.</x:v>
      </x:c>
    </x:row>
    <x:row r="52">
      <x:c r="A52" t="str">
        <x:v>S009-Runway-MET</x:v>
      </x:c>
      <x:c r="B52" t="str">
        <x:v>S009</x:v>
      </x:c>
      <x:c r="C52" t="str">
        <x:v>Plumbing</x:v>
      </x:c>
      <x:c r="D52" t="str">
        <x:v>faucet install</x:v>
      </x:c>
      <x:c r="E52" t="str">
        <x:v>placing</x:v>
      </x:c>
      <x:c r="F52" t="n">
        <x:v>2</x:v>
      </x:c>
      <x:c r="G52" t="str">
        <x:v>seat a rubber gasket under a faucet base</x:v>
      </x:c>
      <x:c r="H52" t="str">
        <x:v>rubber gasket</x:v>
      </x:c>
      <x:c r="I52" t="str">
        <x:v>faucet base, sink deck</x:v>
      </x:c>
      <x:c r="J52" t="str">
        <x:v>Runway Gen-4.5</x:v>
      </x:c>
      <x:c r="K52" t="str">
        <x:v>Metadata-Enriched</x:v>
      </x:c>
      <x:c r="L52" t="str">
        <x:v>Uses clipDescription, clipSummary, toolNames, suppliesNames, processTechniques, safetyEquipment.</x:v>
      </x:c>
      <x:c r="M52" t="str">
        <x:v>Close-up realistic instructional DIY video: seat a rubber gasket under a faucet base. Show rubber gasket working on faucet base, sink deck. Hands visible, stable camera, no text overlay, neutral shop lighting. clipDescription='seat a rubber gasket under a faucet base'. clipSummary='one practical repair step'. toolNames='rubber gasket'. suppliesNames='faucet base, sink deck'. processTechnique='placing'. Safety cue: use normal homeowner precautions and avoid risky shortcuts.</x:v>
      </x:c>
      <x:c r="N52" s="14" t="n">
        <x:v>5</x:v>
      </x:c>
      <x:c r="O52" s="14" t="n">
        <x:v>100092</x:v>
      </x:c>
      <x:c r="P52" t="str">
        <x:v>R-B</x:v>
      </x:c>
      <x:c r="Q52" s="12" t="n">
        <x:v>3.82</x:v>
      </x:c>
      <x:c r="R52" s="12" t="n">
        <x:v>3.81</x:v>
      </x:c>
      <x:c r="S52" s="12" t="n">
        <x:v>4.38</x:v>
      </x:c>
      <x:c r="T52" s="12" t="n">
        <x:v>4.02</x:v>
      </x:c>
      <x:c r="U52" s="12" t="n">
        <x:v>4.14</x:v>
      </x:c>
      <x:c r="V52" s="12" t="n">
        <x:v>4.22</x:v>
      </x:c>
      <x:c r="W52" s="12" t="n">
        <x:f>ROUND((Q52*0.24)+(R52*0.22)+(S52*0.16)+(T52*0.18)+(U52*0.10)+(V52*0.10),2)</x:f>
        <x:v>4.02</x:v>
      </x:c>
      <x:c r="X52" t="str">
        <x:f>IF(W52&gt;=3.55,"Pass","Fail")</x:f>
        <x:v>Pass</x:v>
      </x:c>
      <x:c r="Y52" t="str">
        <x:v>contact point hidden</x:v>
      </x:c>
      <x:c r="Z52" t="str">
        <x:v>Human check: The intention is clear, especially if you already know the step. A novice might miss the key detail because this issue appears right where the action should be most explicit: contact point hidden. On a small preview it might pass, but full-screen review exposes the issue. For this plumbing example, the main judgment is still whether the viewer can copy the motion.</x:v>
      </x:c>
      <x:c r="AA52" t="str">
        <x:v>Specify the exact contact point and do not allow the hand to cover it.</x:v>
      </x:c>
      <x:c r="AB52" t="str">
        <x:v>High</x:v>
      </x:c>
      <x:c r="AC52" t="str"/>
      <x:c r="AD52" t="str">
        <x:v>Planning dataset only; scores are plausible placeholders, not vendor claims.</x:v>
      </x:c>
    </x:row>
    <x:row r="53">
      <x:c r="A53" t="str">
        <x:v>S009-Kling-MET</x:v>
      </x:c>
      <x:c r="B53" t="str">
        <x:v>S009</x:v>
      </x:c>
      <x:c r="C53" t="str">
        <x:v>Plumbing</x:v>
      </x:c>
      <x:c r="D53" t="str">
        <x:v>faucet install</x:v>
      </x:c>
      <x:c r="E53" t="str">
        <x:v>placing</x:v>
      </x:c>
      <x:c r="F53" t="n">
        <x:v>2</x:v>
      </x:c>
      <x:c r="G53" t="str">
        <x:v>seat a rubber gasket under a faucet base</x:v>
      </x:c>
      <x:c r="H53" t="str">
        <x:v>rubber gasket</x:v>
      </x:c>
      <x:c r="I53" t="str">
        <x:v>faucet base, sink deck</x:v>
      </x:c>
      <x:c r="J53" t="str">
        <x:v>Kling v3.0 (Replicate)</x:v>
      </x:c>
      <x:c r="K53" t="str">
        <x:v>Metadata-Enriched</x:v>
      </x:c>
      <x:c r="L53" t="str">
        <x:v>Uses clipDescription, clipSummary, toolNames, suppliesNames, processTechniques, safetyEquipment.</x:v>
      </x:c>
      <x:c r="M53" t="str">
        <x:v>Close-up realistic instructional DIY video: seat a rubber gasket under a faucet base. Show rubber gasket working on faucet base, sink deck. Hands visible, stable camera, no text overlay, neutral shop lighting. clipDescription='seat a rubber gasket under a faucet base'. clipSummary='one practical repair step'. toolNames='rubber gasket'. suppliesNames='faucet base, sink deck'. processTechnique='placing'. Safety cue: use normal homeowner precautions and avoid risky shortcuts.</x:v>
      </x:c>
      <x:c r="N53" s="14" t="n">
        <x:v>10</x:v>
      </x:c>
      <x:c r="O53" s="14" t="n">
        <x:v>100093</x:v>
      </x:c>
      <x:c r="P53" t="str">
        <x:v>R-C</x:v>
      </x:c>
      <x:c r="Q53" s="12" t="n">
        <x:v>4.17</x:v>
      </x:c>
      <x:c r="R53" s="12" t="n">
        <x:v>4.43</x:v>
      </x:c>
      <x:c r="S53" s="12" t="n">
        <x:v>3.66</x:v>
      </x:c>
      <x:c r="T53" s="12" t="n">
        <x:v>3.51</x:v>
      </x:c>
      <x:c r="U53" s="12" t="n">
        <x:v>4.23</x:v>
      </x:c>
      <x:c r="V53" s="12" t="n">
        <x:v>4.08</x:v>
      </x:c>
      <x:c r="W53" s="12" t="n">
        <x:f>ROUND((Q53*0.24)+(R53*0.22)+(S53*0.16)+(T53*0.18)+(U53*0.10)+(V53*0.10),2)</x:f>
        <x:v>4.02</x:v>
      </x:c>
      <x:c r="X53" t="str">
        <x:f>IF(W53&gt;=3.55,"Pass","Fail")</x:f>
        <x:v>Pass</x:v>
      </x:c>
      <x:c r="Y53" t="str">
        <x:v>motion slightly compressed</x:v>
      </x:c>
      <x:c r="Z53" t="str">
        <x:v>Review note: I would keep this as a rough candidate. It communicates the step, although the failure mode makes it weaker than a real sourced clip: motion slightly compressed. This reads better as a teaser than as an instructional clip. For this plumbing example, the main judgment is still whether the viewer can copy the motion.</x:v>
      </x:c>
      <x:c r="AA53" t="str">
        <x:v>Specify the exact contact point and do not allow the hand to cover it.</x:v>
      </x:c>
      <x:c r="AB53" t="str">
        <x:v>Medium</x:v>
      </x:c>
      <x:c r="AC53" t="str"/>
      <x:c r="AD53" t="str">
        <x:v>Planning dataset only; scores are plausible placeholders, not vendor claims.</x:v>
      </x:c>
    </x:row>
    <x:row r="54">
      <x:c r="A54" t="str">
        <x:v>S009-Pika-MET</x:v>
      </x:c>
      <x:c r="B54" t="str">
        <x:v>S009</x:v>
      </x:c>
      <x:c r="C54" t="str">
        <x:v>Plumbing</x:v>
      </x:c>
      <x:c r="D54" t="str">
        <x:v>faucet install</x:v>
      </x:c>
      <x:c r="E54" t="str">
        <x:v>placing</x:v>
      </x:c>
      <x:c r="F54" t="n">
        <x:v>2</x:v>
      </x:c>
      <x:c r="G54" t="str">
        <x:v>seat a rubber gasket under a faucet base</x:v>
      </x:c>
      <x:c r="H54" t="str">
        <x:v>rubber gasket</x:v>
      </x:c>
      <x:c r="I54" t="str">
        <x:v>faucet base, sink deck</x:v>
      </x:c>
      <x:c r="J54" t="str">
        <x:v>Pika 2.2</x:v>
      </x:c>
      <x:c r="K54" t="str">
        <x:v>Metadata-Enriched</x:v>
      </x:c>
      <x:c r="L54" t="str">
        <x:v>Uses clipDescription, clipSummary, toolNames, suppliesNames, processTechniques, safetyEquipment.</x:v>
      </x:c>
      <x:c r="M54" t="str">
        <x:v>Close-up realistic instructional DIY video: seat a rubber gasket under a faucet base. Show rubber gasket working on faucet base, sink deck. Hands visible, stable camera, no text overlay, neutral shop lighting. clipDescription='seat a rubber gasket under a faucet base'. clipSummary='one practical repair step'. toolNames='rubber gasket'. suppliesNames='faucet base, sink deck'. processTechnique='placing'. Safety cue: use normal homeowner precautions and avoid risky shortcuts.</x:v>
      </x:c>
      <x:c r="N54" s="14" t="n">
        <x:v>5</x:v>
      </x:c>
      <x:c r="O54" s="14" t="n">
        <x:v>100094</x:v>
      </x:c>
      <x:c r="P54" t="str">
        <x:v>R-B</x:v>
      </x:c>
      <x:c r="Q54" s="12" t="n">
        <x:v>3.37</x:v>
      </x:c>
      <x:c r="R54" s="12" t="n">
        <x:v>3.79</x:v>
      </x:c>
      <x:c r="S54" s="12" t="n">
        <x:v>3.86</x:v>
      </x:c>
      <x:c r="T54" s="12" t="n">
        <x:v>3.89</x:v>
      </x:c>
      <x:c r="U54" s="12" t="n">
        <x:v>4.21</x:v>
      </x:c>
      <x:c r="V54" s="12" t="n">
        <x:v>4.22</x:v>
      </x:c>
      <x:c r="W54" s="12" t="n">
        <x:f>ROUND((Q54*0.24)+(R54*0.22)+(S54*0.16)+(T54*0.18)+(U54*0.10)+(V54*0.10),2)</x:f>
        <x:v>3.8</x:v>
      </x:c>
      <x:c r="X54" t="str">
        <x:f>IF(W54&gt;=3.55,"Pass","Fail")</x:f>
        <x:v>Pass</x:v>
      </x:c>
      <x:c r="Y54" t="str">
        <x:v>endpoint not visible</x:v>
      </x:c>
      <x:c r="Z54" t="str">
        <x:v>Rater note: The intention is clear, especially if you already know the step. A novice might miss the key detail because this issue appears right where the action should be most explicit: endpoint not visible. The tool silhouette is acceptable; the mechanics are the weak part. For this plumbing example, the main judgment is still whether the viewer can copy the motion.</x:v>
      </x:c>
      <x:c r="AA54" t="str">
        <x:v>Ask for a static close-up and require the rubber gasket to touch the faucet base, sink deck before any motion starts.</x:v>
      </x:c>
      <x:c r="AB54" t="str">
        <x:v>Medium</x:v>
      </x:c>
      <x:c r="AC54" t="str"/>
      <x:c r="AD54" t="str">
        <x:v>Mock rater record for experiment design; audit against real video outputs before publication.</x:v>
      </x:c>
    </x:row>
    <x:row r="55">
      <x:c r="A55" t="str">
        <x:v>S009-Vidu-MET</x:v>
      </x:c>
      <x:c r="B55" t="str">
        <x:v>S009</x:v>
      </x:c>
      <x:c r="C55" t="str">
        <x:v>Plumbing</x:v>
      </x:c>
      <x:c r="D55" t="str">
        <x:v>faucet install</x:v>
      </x:c>
      <x:c r="E55" t="str">
        <x:v>placing</x:v>
      </x:c>
      <x:c r="F55" t="n">
        <x:v>2</x:v>
      </x:c>
      <x:c r="G55" t="str">
        <x:v>seat a rubber gasket under a faucet base</x:v>
      </x:c>
      <x:c r="H55" t="str">
        <x:v>rubber gasket</x:v>
      </x:c>
      <x:c r="I55" t="str">
        <x:v>faucet base, sink deck</x:v>
      </x:c>
      <x:c r="J55" t="str">
        <x:v>Vidu 2.0</x:v>
      </x:c>
      <x:c r="K55" t="str">
        <x:v>Metadata-Enriched</x:v>
      </x:c>
      <x:c r="L55" t="str">
        <x:v>Uses clipDescription, clipSummary, toolNames, suppliesNames, processTechniques, safetyEquipment.</x:v>
      </x:c>
      <x:c r="M55" t="str">
        <x:v>Close-up realistic instructional DIY video: seat a rubber gasket under a faucet base. Show rubber gasket working on faucet base, sink deck. Hands visible, stable camera, no text overlay, neutral shop lighting. clipDescription='seat a rubber gasket under a faucet base'. clipSummary='one practical repair step'. toolNames='rubber gasket'. suppliesNames='faucet base, sink deck'. processTechnique='placing'. Safety cue: use normal homeowner precautions and avoid risky shortcuts.</x:v>
      </x:c>
      <x:c r="N55" s="14" t="n">
        <x:v>5</x:v>
      </x:c>
      <x:c r="O55" s="14" t="n">
        <x:v>100095</x:v>
      </x:c>
      <x:c r="P55" t="str">
        <x:v>R-B</x:v>
      </x:c>
      <x:c r="Q55" s="12" t="n">
        <x:v>3.06</x:v>
      </x:c>
      <x:c r="R55" s="12" t="n">
        <x:v>3.31</x:v>
      </x:c>
      <x:c r="S55" s="12" t="n">
        <x:v>3.33</x:v>
      </x:c>
      <x:c r="T55" s="12" t="n">
        <x:v>3.82</x:v>
      </x:c>
      <x:c r="U55" s="12" t="n">
        <x:v>2.99</x:v>
      </x:c>
      <x:c r="V55" s="12" t="n">
        <x:v>3.3</x:v>
      </x:c>
      <x:c r="W55" s="12" t="n">
        <x:f>ROUND((Q55*0.24)+(R55*0.22)+(S55*0.16)+(T55*0.18)+(U55*0.10)+(V55*0.10),2)</x:f>
        <x:v>3.31</x:v>
      </x:c>
      <x:c r="X55" t="str">
        <x:f>IF(W55&gt;=3.55,"Pass","Fail")</x:f>
        <x:v>Fail</x:v>
      </x:c>
      <x:c r="Y55" t="str">
        <x:v>thread direction unclear</x:v>
      </x:c>
      <x:c r="Z55" t="str">
        <x:v>Clip review: The generated clip loses the procedure. I would re-run with a reference frame and a stricter Action-Object-Tool prompt. The next prompt should slow the final second instead of adding more scene detail. For this plumbing example, the main judgment is still whether the viewer can copy the motion.</x:v>
      </x:c>
      <x:c r="AA55" t="str">
        <x:v>Move safety language earlier in the prompt and remove cinematic camera instructions.</x:v>
      </x:c>
      <x:c r="AB55" t="str">
        <x:v>Medium</x:v>
      </x:c>
      <x:c r="AC55" t="str"/>
      <x:c r="AD55" t="str">
        <x:v>Synthetic benchmark entry; generated clip URL should be filled after API run.</x:v>
      </x:c>
    </x:row>
    <x:row r="56">
      <x:c r="A56" t="str">
        <x:v>S010-Veo-REF</x:v>
      </x:c>
      <x:c r="B56" t="str">
        <x:v>S010</x:v>
      </x:c>
      <x:c r="C56" t="str">
        <x:v>Plumbing</x:v>
      </x:c>
      <x:c r="D56" t="str">
        <x:v>faucet install</x:v>
      </x:c>
      <x:c r="E56" t="str">
        <x:v>tightening</x:v>
      </x:c>
      <x:c r="F56" t="n">
        <x:v>4</x:v>
      </x:c>
      <x:c r="G56" t="str">
        <x:v>tighten a basin wrench on a faucet mounting nut</x:v>
      </x:c>
      <x:c r="H56" t="str">
        <x:v>basin wrench</x:v>
      </x:c>
      <x:c r="I56" t="str">
        <x:v>faucet mounting nut under sink</x:v>
      </x:c>
      <x:c r="J56" t="str">
        <x:v>Veo 3.1</x:v>
      </x:c>
      <x:c r="K56" t="str">
        <x:v>Reference-Guided</x:v>
      </x:c>
      <x:c r="L56" t="str">
        <x:v>Adds reference-tool/image cue and brand-agnostic visual constraints.</x:v>
      </x:c>
      <x:c r="M56" t="str">
        <x:v>Close-up realistic instructional DIY video: tighten a basin wrench on a faucet mounting nut. Show basin wrench working on faucet mounting nut under sink. Hands visible, stable camera, no text overlay, neutral shop lighting. Use a generic, brand-agnostic visual reference for the basin wrench; preserve the tool shape and scale; the basin wrench must remain in contact with faucet mounting nut under sink during the key motion.</x:v>
      </x:c>
      <x:c r="N56" s="14" t="n">
        <x:v>8</x:v>
      </x:c>
      <x:c r="O56" s="14" t="n">
        <x:v>100100</x:v>
      </x:c>
      <x:c r="P56" t="str">
        <x:v>R-E</x:v>
      </x:c>
      <x:c r="Q56" s="12" t="n">
        <x:v>4.18</x:v>
      </x:c>
      <x:c r="R56" s="12" t="n">
        <x:v>3.78</x:v>
      </x:c>
      <x:c r="S56" s="12" t="n">
        <x:v>4.47</x:v>
      </x:c>
      <x:c r="T56" s="12" t="n">
        <x:v>3.82</x:v>
      </x:c>
      <x:c r="U56" s="12" t="n">
        <x:v>3.61</x:v>
      </x:c>
      <x:c r="V56" s="12" t="n">
        <x:v>4.02</x:v>
      </x:c>
      <x:c r="W56" s="12" t="n">
        <x:f>ROUND((Q56*0.24)+(R56*0.22)+(S56*0.16)+(T56*0.18)+(U56*0.10)+(V56*0.10),2)</x:f>
        <x:v>4</x:v>
      </x:c>
      <x:c r="X56" t="str">
        <x:f>IF(W56&gt;=3.55,"Pass","Fail")</x:f>
        <x:v>Pass</x:v>
      </x:c>
      <x:c r="Y56" t="str">
        <x:v>minor continuity jump</x:v>
      </x:c>
      <x:c r="Z56" t="str">
        <x:v>Review note: The intention is clear, especially if you already know the step. A novice might miss the key detail because this issue appears right where the action should be most explicit: minor continuity jump. I would keep the same camera angle but ask for a tighter view of the contact point. For this plumbing example, the main judgment is still whether the viewer can copy the motion.</x:v>
      </x:c>
      <x:c r="AA56" t="str">
        <x:v>Add a one-sentence end-state requirement: viewer must see the completed tightening result for one full second.</x:v>
      </x:c>
      <x:c r="AB56" t="str">
        <x:v>High</x:v>
      </x:c>
      <x:c r="AC56" t="str"/>
      <x:c r="AD56" t="str">
        <x:v>Mock rater record for experiment design; audit against real video outputs before publication.</x:v>
      </x:c>
    </x:row>
    <x:row r="57">
      <x:c r="A57" t="str">
        <x:v>S010-Sora-REF</x:v>
      </x:c>
      <x:c r="B57" t="str">
        <x:v>S010</x:v>
      </x:c>
      <x:c r="C57" t="str">
        <x:v>Plumbing</x:v>
      </x:c>
      <x:c r="D57" t="str">
        <x:v>faucet install</x:v>
      </x:c>
      <x:c r="E57" t="str">
        <x:v>tightening</x:v>
      </x:c>
      <x:c r="F57" t="n">
        <x:v>4</x:v>
      </x:c>
      <x:c r="G57" t="str">
        <x:v>tighten a basin wrench on a faucet mounting nut</x:v>
      </x:c>
      <x:c r="H57" t="str">
        <x:v>basin wrench</x:v>
      </x:c>
      <x:c r="I57" t="str">
        <x:v>faucet mounting nut under sink</x:v>
      </x:c>
      <x:c r="J57" t="str">
        <x:v>Sora 2 Pro</x:v>
      </x:c>
      <x:c r="K57" t="str">
        <x:v>Reference-Guided</x:v>
      </x:c>
      <x:c r="L57" t="str">
        <x:v>Adds reference-tool/image cue and brand-agnostic visual constraints.</x:v>
      </x:c>
      <x:c r="M57" t="str">
        <x:v>Close-up realistic instructional DIY video: tighten a basin wrench on a faucet mounting nut. Show basin wrench working on faucet mounting nut under sink. Hands visible, stable camera, no text overlay, neutral shop lighting. Use a generic, brand-agnostic visual reference for the basin wrench; preserve the tool shape and scale; the basin wrench must remain in contact with faucet mounting nut under sink during the key motion.</x:v>
      </x:c>
      <x:c r="N57" s="14" t="n">
        <x:v>8</x:v>
      </x:c>
      <x:c r="O57" s="14" t="n">
        <x:v>100101</x:v>
      </x:c>
      <x:c r="P57" t="str">
        <x:v>R-E</x:v>
      </x:c>
      <x:c r="Q57" s="12" t="n">
        <x:v>3.91</x:v>
      </x:c>
      <x:c r="R57" s="12" t="n">
        <x:v>3.59</x:v>
      </x:c>
      <x:c r="S57" s="12" t="n">
        <x:v>4.32</x:v>
      </x:c>
      <x:c r="T57" s="12" t="n">
        <x:v>4.2</x:v>
      </x:c>
      <x:c r="U57" s="12" t="n">
        <x:v>4.09</x:v>
      </x:c>
      <x:c r="V57" s="12" t="n">
        <x:v>3.44</x:v>
      </x:c>
      <x:c r="W57" s="12" t="n">
        <x:f>ROUND((Q57*0.24)+(R57*0.22)+(S57*0.16)+(T57*0.18)+(U57*0.10)+(V57*0.10),2)</x:f>
        <x:v>3.93</x:v>
      </x:c>
      <x:c r="X57" t="str">
        <x:f>IF(W57&gt;=3.55,"Pass","Fail")</x:f>
        <x:v>Pass</x:v>
      </x:c>
      <x:c r="Y57" t="str">
        <x:v>contact point hidden</x:v>
      </x:c>
      <x:c r="Z57" t="str">
        <x:v>Clip review: The clip has the right ingredients but not quite the right mechanics. It needs a tighter prompt about grip, contact, and the end position. On a small preview it might pass, but full-screen review exposes the issue. For this plumbing example, the main judgment is still whether the viewer can copy the motion.</x:v>
      </x:c>
      <x:c r="AA57" t="str">
        <x:v>Break the action into start, contact, movement, and finish; ban extra tools and hand morphing.</x:v>
      </x:c>
      <x:c r="AB57" t="str">
        <x:v>Medium</x:v>
      </x:c>
      <x:c r="AC57" t="str"/>
      <x:c r="AD57" t="str">
        <x:v>Simulated pilot row for planning; replace with blinded ratings after generating actual clips.</x:v>
      </x:c>
    </x:row>
    <x:row r="58">
      <x:c r="A58" t="str">
        <x:v>S010-Runway-REF</x:v>
      </x:c>
      <x:c r="B58" t="str">
        <x:v>S010</x:v>
      </x:c>
      <x:c r="C58" t="str">
        <x:v>Plumbing</x:v>
      </x:c>
      <x:c r="D58" t="str">
        <x:v>faucet install</x:v>
      </x:c>
      <x:c r="E58" t="str">
        <x:v>tightening</x:v>
      </x:c>
      <x:c r="F58" t="n">
        <x:v>4</x:v>
      </x:c>
      <x:c r="G58" t="str">
        <x:v>tighten a basin wrench on a faucet mounting nut</x:v>
      </x:c>
      <x:c r="H58" t="str">
        <x:v>basin wrench</x:v>
      </x:c>
      <x:c r="I58" t="str">
        <x:v>faucet mounting nut under sink</x:v>
      </x:c>
      <x:c r="J58" t="str">
        <x:v>Runway Gen-4.5</x:v>
      </x:c>
      <x:c r="K58" t="str">
        <x:v>Reference-Guided</x:v>
      </x:c>
      <x:c r="L58" t="str">
        <x:v>Adds reference-tool/image cue and brand-agnostic visual constraints.</x:v>
      </x:c>
      <x:c r="M58" t="str">
        <x:v>Close-up realistic instructional DIY video: tighten a basin wrench on a faucet mounting nut. Show basin wrench working on faucet mounting nut under sink. Hands visible, stable camera, no text overlay, neutral shop lighting. Use a generic, brand-agnostic visual reference for the basin wrench; preserve the tool shape and scale; the basin wrench must remain in contact with faucet mounting nut under sink during the key motion.</x:v>
      </x:c>
      <x:c r="N58" s="14" t="n">
        <x:v>5</x:v>
      </x:c>
      <x:c r="O58" s="14" t="n">
        <x:v>100102</x:v>
      </x:c>
      <x:c r="P58" t="str">
        <x:v>R-E</x:v>
      </x:c>
      <x:c r="Q58" s="12" t="n">
        <x:v>3.84</x:v>
      </x:c>
      <x:c r="R58" s="12" t="n">
        <x:v>3.65</x:v>
      </x:c>
      <x:c r="S58" s="12" t="n">
        <x:v>3.4</x:v>
      </x:c>
      <x:c r="T58" s="12" t="n">
        <x:v>4.07</x:v>
      </x:c>
      <x:c r="U58" s="12" t="n">
        <x:v>3.44</x:v>
      </x:c>
      <x:c r="V58" s="12" t="n">
        <x:v>3.7</x:v>
      </x:c>
      <x:c r="W58" s="12" t="n">
        <x:f>ROUND((Q58*0.24)+(R58*0.22)+(S58*0.16)+(T58*0.18)+(U58*0.10)+(V58*0.10),2)</x:f>
        <x:v>3.72</x:v>
      </x:c>
      <x:c r="X58" t="str">
        <x:f>IF(W58&gt;=3.55,"Pass","Fail")</x:f>
        <x:v>Pass</x:v>
      </x:c>
      <x:c r="Y58" t="str">
        <x:v>object morphs</x:v>
      </x:c>
      <x:c r="Z58" t="str">
        <x:v>Clip review: The intention is clear, especially if you already know the step. A novice might miss the key detail because this issue appears right where the action should be most explicit: object morphs. On a small preview it might pass, but full-screen review exposes the issue. For this plumbing example, the main judgment is still whether the viewer can copy the motion.</x:v>
      </x:c>
      <x:c r="AA58" t="str">
        <x:v>Use a reference image for the basin wrench and specify its grip/orientation in plain language.</x:v>
      </x:c>
      <x:c r="AB58" t="str">
        <x:v>Medium-High</x:v>
      </x:c>
      <x:c r="AC58" t="str"/>
      <x:c r="AD58" t="str">
        <x:v>Mock rater record for experiment design; audit against real video outputs before publication.</x:v>
      </x:c>
    </x:row>
    <x:row r="59">
      <x:c r="A59" t="str">
        <x:v>S010-Kling-REF</x:v>
      </x:c>
      <x:c r="B59" t="str">
        <x:v>S010</x:v>
      </x:c>
      <x:c r="C59" t="str">
        <x:v>Plumbing</x:v>
      </x:c>
      <x:c r="D59" t="str">
        <x:v>faucet install</x:v>
      </x:c>
      <x:c r="E59" t="str">
        <x:v>tightening</x:v>
      </x:c>
      <x:c r="F59" t="n">
        <x:v>4</x:v>
      </x:c>
      <x:c r="G59" t="str">
        <x:v>tighten a basin wrench on a faucet mounting nut</x:v>
      </x:c>
      <x:c r="H59" t="str">
        <x:v>basin wrench</x:v>
      </x:c>
      <x:c r="I59" t="str">
        <x:v>faucet mounting nut under sink</x:v>
      </x:c>
      <x:c r="J59" t="str">
        <x:v>Kling v3.0 (Replicate)</x:v>
      </x:c>
      <x:c r="K59" t="str">
        <x:v>Reference-Guided</x:v>
      </x:c>
      <x:c r="L59" t="str">
        <x:v>Adds reference-tool/image cue and brand-agnostic visual constraints.</x:v>
      </x:c>
      <x:c r="M59" t="str">
        <x:v>Close-up realistic instructional DIY video: tighten a basin wrench on a faucet mounting nut. Show basin wrench working on faucet mounting nut under sink. Hands visible, stable camera, no text overlay, neutral shop lighting. Use a generic, brand-agnostic visual reference for the basin wrench; preserve the tool shape and scale; the basin wrench must remain in contact with faucet mounting nut under sink during the key motion.</x:v>
      </x:c>
      <x:c r="N59" s="14" t="n">
        <x:v>10</x:v>
      </x:c>
      <x:c r="O59" s="14" t="n">
        <x:v>100103</x:v>
      </x:c>
      <x:c r="P59" t="str">
        <x:v>R-A</x:v>
      </x:c>
      <x:c r="Q59" s="12" t="n">
        <x:v>3.58</x:v>
      </x:c>
      <x:c r="R59" s="12" t="n">
        <x:v>3.5</x:v>
      </x:c>
      <x:c r="S59" s="12" t="n">
        <x:v>3.95</x:v>
      </x:c>
      <x:c r="T59" s="12" t="n">
        <x:v>3.65</x:v>
      </x:c>
      <x:c r="U59" s="12" t="n">
        <x:v>3.61</x:v>
      </x:c>
      <x:c r="V59" s="12" t="n">
        <x:v>3.93</x:v>
      </x:c>
      <x:c r="W59" s="12" t="n">
        <x:f>ROUND((Q59*0.24)+(R59*0.22)+(S59*0.16)+(T59*0.18)+(U59*0.10)+(V59*0.10),2)</x:f>
        <x:v>3.67</x:v>
      </x:c>
      <x:c r="X59" t="str">
        <x:f>IF(W59&gt;=3.55,"Pass","Fail")</x:f>
        <x:v>Pass</x:v>
      </x:c>
      <x:c r="Y59" t="str">
        <x:v>object morphs</x:v>
      </x:c>
      <x:c r="Z59" t="str">
        <x:v>Review note: The clip has the right ingredients but not quite the right mechanics. It needs a tighter prompt about grip, contact, and the end position. This reads better as a teaser than as an instructional clip. For this plumbing example, the main judgment is still whether the viewer can copy the motion.</x:v>
      </x:c>
      <x:c r="AA59" t="str">
        <x:v>Ask for a static close-up and require the basin wrench to touch the faucet mounting nut under sink before any motion starts.</x:v>
      </x:c>
      <x:c r="AB59" t="str">
        <x:v>Medium-High</x:v>
      </x:c>
      <x:c r="AC59" t="str"/>
      <x:c r="AD59" t="str">
        <x:v>Simulated pilot row for planning; replace with blinded ratings after generating actual clips.</x:v>
      </x:c>
    </x:row>
    <x:row r="60">
      <x:c r="A60" t="str">
        <x:v>S010-Pika-REF</x:v>
      </x:c>
      <x:c r="B60" t="str">
        <x:v>S010</x:v>
      </x:c>
      <x:c r="C60" t="str">
        <x:v>Plumbing</x:v>
      </x:c>
      <x:c r="D60" t="str">
        <x:v>faucet install</x:v>
      </x:c>
      <x:c r="E60" t="str">
        <x:v>tightening</x:v>
      </x:c>
      <x:c r="F60" t="n">
        <x:v>4</x:v>
      </x:c>
      <x:c r="G60" t="str">
        <x:v>tighten a basin wrench on a faucet mounting nut</x:v>
      </x:c>
      <x:c r="H60" t="str">
        <x:v>basin wrench</x:v>
      </x:c>
      <x:c r="I60" t="str">
        <x:v>faucet mounting nut under sink</x:v>
      </x:c>
      <x:c r="J60" t="str">
        <x:v>Pika 2.2</x:v>
      </x:c>
      <x:c r="K60" t="str">
        <x:v>Reference-Guided</x:v>
      </x:c>
      <x:c r="L60" t="str">
        <x:v>Adds reference-tool/image cue and brand-agnostic visual constraints.</x:v>
      </x:c>
      <x:c r="M60" t="str">
        <x:v>Close-up realistic instructional DIY video: tighten a basin wrench on a faucet mounting nut. Show basin wrench working on faucet mounting nut under sink. Hands visible, stable camera, no text overlay, neutral shop lighting. Use a generic, brand-agnostic visual reference for the basin wrench; preserve the tool shape and scale; the basin wrench must remain in contact with faucet mounting nut under sink during the key motion.</x:v>
      </x:c>
      <x:c r="N60" s="14" t="n">
        <x:v>5</x:v>
      </x:c>
      <x:c r="O60" s="14" t="n">
        <x:v>100104</x:v>
      </x:c>
      <x:c r="P60" t="str">
        <x:v>R-C</x:v>
      </x:c>
      <x:c r="Q60" s="12" t="n">
        <x:v>3.02</x:v>
      </x:c>
      <x:c r="R60" s="12" t="n">
        <x:v>3.23</x:v>
      </x:c>
      <x:c r="S60" s="12" t="n">
        <x:v>3.58</x:v>
      </x:c>
      <x:c r="T60" s="12" t="n">
        <x:v>3.59</x:v>
      </x:c>
      <x:c r="U60" s="12" t="n">
        <x:v>3.61</x:v>
      </x:c>
      <x:c r="V60" s="12" t="n">
        <x:v>3.61</x:v>
      </x:c>
      <x:c r="W60" s="12" t="n">
        <x:f>ROUND((Q60*0.24)+(R60*0.22)+(S60*0.16)+(T60*0.18)+(U60*0.10)+(V60*0.10),2)</x:f>
        <x:v>3.38</x:v>
      </x:c>
      <x:c r="X60" t="str">
        <x:f>IF(W60&gt;=3.55,"Pass","Fail")</x:f>
        <x:v>Fail</x:v>
      </x:c>
      <x:c r="Y60" t="str">
        <x:v>wrong grip on tool</x:v>
      </x:c>
      <x:c r="Z60" t="str">
        <x:v>Rater note: Too much is being implied. The basin wrench and faucet mounting nut under sink are in the scene, but the motion does not demonstrate the actual repair step. I marked it down for the key moment rather than the opening setup. For this plumbing example, the main judgment is still whether the viewer can copy the motion.</x:v>
      </x:c>
      <x:c r="AA60" t="str">
        <x:v>Ask for a static close-up and require the basin wrench to touch the faucet mounting nut under sink before any motion starts.</x:v>
      </x:c>
      <x:c r="AB60" t="str">
        <x:v>Medium</x:v>
      </x:c>
      <x:c r="AC60" t="str"/>
      <x:c r="AD60" t="str">
        <x:v>Planning dataset only; scores are plausible placeholders, not vendor claims.</x:v>
      </x:c>
    </x:row>
    <x:row r="61">
      <x:c r="A61" t="str">
        <x:v>S010-Vidu-REF</x:v>
      </x:c>
      <x:c r="B61" t="str">
        <x:v>S010</x:v>
      </x:c>
      <x:c r="C61" t="str">
        <x:v>Plumbing</x:v>
      </x:c>
      <x:c r="D61" t="str">
        <x:v>faucet install</x:v>
      </x:c>
      <x:c r="E61" t="str">
        <x:v>tightening</x:v>
      </x:c>
      <x:c r="F61" t="n">
        <x:v>4</x:v>
      </x:c>
      <x:c r="G61" t="str">
        <x:v>tighten a basin wrench on a faucet mounting nut</x:v>
      </x:c>
      <x:c r="H61" t="str">
        <x:v>basin wrench</x:v>
      </x:c>
      <x:c r="I61" t="str">
        <x:v>faucet mounting nut under sink</x:v>
      </x:c>
      <x:c r="J61" t="str">
        <x:v>Vidu 2.0</x:v>
      </x:c>
      <x:c r="K61" t="str">
        <x:v>Reference-Guided</x:v>
      </x:c>
      <x:c r="L61" t="str">
        <x:v>Adds reference-tool/image cue and brand-agnostic visual constraints.</x:v>
      </x:c>
      <x:c r="M61" t="str">
        <x:v>Close-up realistic instructional DIY video: tighten a basin wrench on a faucet mounting nut. Show basin wrench working on faucet mounting nut under sink. Hands visible, stable camera, no text overlay, neutral shop lighting. Use a generic, brand-agnostic visual reference for the basin wrench; preserve the tool shape and scale; the basin wrench must remain in contact with faucet mounting nut under sink during the key motion.</x:v>
      </x:c>
      <x:c r="N61" s="14" t="n">
        <x:v>5</x:v>
      </x:c>
      <x:c r="O61" s="14" t="n">
        <x:v>100105</x:v>
      </x:c>
      <x:c r="P61" t="str">
        <x:v>R-A</x:v>
      </x:c>
      <x:c r="Q61" s="12" t="n">
        <x:v>2.81</x:v>
      </x:c>
      <x:c r="R61" s="12" t="n">
        <x:v>3.37</x:v>
      </x:c>
      <x:c r="S61" s="12" t="n">
        <x:v>3.67</x:v>
      </x:c>
      <x:c r="T61" s="12" t="n">
        <x:v>2.61</x:v>
      </x:c>
      <x:c r="U61" s="12" t="n">
        <x:v>3.02</x:v>
      </x:c>
      <x:c r="V61" s="12" t="n">
        <x:v>2.9</x:v>
      </x:c>
      <x:c r="W61" s="12" t="n">
        <x:f>ROUND((Q61*0.24)+(R61*0.22)+(S61*0.16)+(T61*0.18)+(U61*0.10)+(V61*0.10),2)</x:f>
        <x:v>3.06</x:v>
      </x:c>
      <x:c r="X61" t="str">
        <x:f>IF(W61&gt;=3.55,"Pass","Fail")</x:f>
        <x:v>Fail</x:v>
      </x:c>
      <x:c r="Y61" t="str">
        <x:v>sequence reversed</x:v>
      </x:c>
      <x:c r="Z61" t="str">
        <x:v>Human check: The generated clip loses the procedure. I would re-run with a reference frame and a stricter Action-Object-Tool prompt. The clip needs a verifier pass before it can enter the training pool. For this plumbing example, the main judgment is still whether the viewer can copy the motion.</x:v>
      </x:c>
      <x:c r="AA61" t="str">
        <x:v>Use a reference image for the basin wrench and specify its grip/orientation in plain language.</x:v>
      </x:c>
      <x:c r="AB61" t="str">
        <x:v>Medium</x:v>
      </x:c>
      <x:c r="AC61" t="str"/>
      <x:c r="AD61" t="str">
        <x:v>Mock rater record for experiment design; audit against real video outputs before publication.</x:v>
      </x:c>
    </x:row>
    <x:row r="62">
      <x:c r="A62" t="str">
        <x:v>S011-Veo-SEQ</x:v>
      </x:c>
      <x:c r="B62" t="str">
        <x:v>S011</x:v>
      </x:c>
      <x:c r="C62" t="str">
        <x:v>Plumbing</x:v>
      </x:c>
      <x:c r="D62" t="str">
        <x:v>toilet repair</x:v>
      </x:c>
      <x:c r="E62" t="str">
        <x:v>clipping</x:v>
      </x:c>
      <x:c r="F62" t="n">
        <x:v>2</x:v>
      </x:c>
      <x:c r="G62" t="str">
        <x:v>clip the refill tube onto the overflow pipe</x:v>
      </x:c>
      <x:c r="H62" t="str">
        <x:v>refill tube clip</x:v>
      </x:c>
      <x:c r="I62" t="str">
        <x:v>overflow pipe, refill tube</x:v>
      </x:c>
      <x:c r="J62" t="str">
        <x:v>Veo 3.1</x:v>
      </x:c>
      <x:c r="K62" t="str">
        <x:v>Sequential Context</x:v>
      </x:c>
      <x:c r="L62" t="str">
        <x:v>Provides previous and next step for continuity without asking for them to appear.</x:v>
      </x:c>
      <x:c r="M62" t="str">
        <x:v>Close-up realistic instructional DIY video: clip the refill tube onto the overflow pipe. Show refill tube clip working on overflow pipe, refill tube. Hands visible, stable camera, no text overlay, neutral shop lighting. This is the middle clip in a sequence. Previous step has already prepared the work area; next step will verify the result. Keep the same workpiece, camera distance, and hand orientation.</x:v>
      </x:c>
      <x:c r="N62" s="14" t="n">
        <x:v>8</x:v>
      </x:c>
      <x:c r="O62" s="14" t="n">
        <x:v>100110</x:v>
      </x:c>
      <x:c r="P62" t="str">
        <x:v>R-A</x:v>
      </x:c>
      <x:c r="Q62" s="12" t="n">
        <x:v>4.28</x:v>
      </x:c>
      <x:c r="R62" s="12" t="n">
        <x:v>4.44</x:v>
      </x:c>
      <x:c r="S62" s="12" t="n">
        <x:v>4.65</x:v>
      </x:c>
      <x:c r="T62" s="12" t="n">
        <x:v>4.85</x:v>
      </x:c>
      <x:c r="U62" s="12" t="n">
        <x:v>4.06</x:v>
      </x:c>
      <x:c r="V62" s="12" t="n">
        <x:v>4.45</x:v>
      </x:c>
      <x:c r="W62" s="12" t="n">
        <x:f>ROUND((Q62*0.24)+(R62*0.22)+(S62*0.16)+(T62*0.18)+(U62*0.10)+(V62*0.10),2)</x:f>
        <x:v>4.47</x:v>
      </x:c>
      <x:c r="X62" t="str">
        <x:f>IF(W62&gt;=3.55,"Pass","Fail")</x:f>
        <x:v>Pass</x:v>
      </x:c>
      <x:c r="Y62" t="str">
        <x:v>none</x:v>
      </x:c>
      <x:c r="Z62" t="str">
        <x:v>Rater note: Clear enough for a learner. The workpiece does not wander and the camera stays on the overflow pipe, refill tube; I would still add a freeze or caption after generation. The prompt should prioritize hand path over cinematic lighting. Continuity is useful here, but it cannot replace showing the actual contact point.</x:v>
      </x:c>
      <x:c r="AA62" t="str">
        <x:v>No immediate re-run; keep as candidate and verify with a second rater.</x:v>
      </x:c>
      <x:c r="AB62" t="str">
        <x:v>Medium</x:v>
      </x:c>
      <x:c r="AC62" t="str"/>
      <x:c r="AD62" t="str">
        <x:v>Planning dataset only; scores are plausible placeholders, not vendor claims.</x:v>
      </x:c>
    </x:row>
    <x:row r="63">
      <x:c r="A63" t="str">
        <x:v>S011-Sora-SEQ</x:v>
      </x:c>
      <x:c r="B63" t="str">
        <x:v>S011</x:v>
      </x:c>
      <x:c r="C63" t="str">
        <x:v>Plumbing</x:v>
      </x:c>
      <x:c r="D63" t="str">
        <x:v>toilet repair</x:v>
      </x:c>
      <x:c r="E63" t="str">
        <x:v>clipping</x:v>
      </x:c>
      <x:c r="F63" t="n">
        <x:v>2</x:v>
      </x:c>
      <x:c r="G63" t="str">
        <x:v>clip the refill tube onto the overflow pipe</x:v>
      </x:c>
      <x:c r="H63" t="str">
        <x:v>refill tube clip</x:v>
      </x:c>
      <x:c r="I63" t="str">
        <x:v>overflow pipe, refill tube</x:v>
      </x:c>
      <x:c r="J63" t="str">
        <x:v>Sora 2 Pro</x:v>
      </x:c>
      <x:c r="K63" t="str">
        <x:v>Sequential Context</x:v>
      </x:c>
      <x:c r="L63" t="str">
        <x:v>Provides previous and next step for continuity without asking for them to appear.</x:v>
      </x:c>
      <x:c r="M63" t="str">
        <x:v>Close-up realistic instructional DIY video: clip the refill tube onto the overflow pipe. Show refill tube clip working on overflow pipe, refill tube. Hands visible, stable camera, no text overlay, neutral shop lighting. This is the middle clip in a sequence. Previous step has already prepared the work area; next step will verify the result. Keep the same workpiece, camera distance, and hand orientation.</x:v>
      </x:c>
      <x:c r="N63" s="14" t="n">
        <x:v>8</x:v>
      </x:c>
      <x:c r="O63" s="14" t="n">
        <x:v>100111</x:v>
      </x:c>
      <x:c r="P63" t="str">
        <x:v>R-E</x:v>
      </x:c>
      <x:c r="Q63" s="12" t="n">
        <x:v>3.96</x:v>
      </x:c>
      <x:c r="R63" s="12" t="n">
        <x:v>4.76</x:v>
      </x:c>
      <x:c r="S63" s="12" t="n">
        <x:v>4.99</x:v>
      </x:c>
      <x:c r="T63" s="12" t="n">
        <x:v>4.43</x:v>
      </x:c>
      <x:c r="U63" s="12" t="n">
        <x:v>3.79</x:v>
      </x:c>
      <x:c r="V63" s="12" t="n">
        <x:v>3.92</x:v>
      </x:c>
      <x:c r="W63" s="12" t="n">
        <x:f>ROUND((Q63*0.24)+(R63*0.22)+(S63*0.16)+(T63*0.18)+(U63*0.10)+(V63*0.10),2)</x:f>
        <x:v>4.36</x:v>
      </x:c>
      <x:c r="X63" t="str">
        <x:f>IF(W63&gt;=3.55,"Pass","Fail")</x:f>
        <x:v>Pass</x:v>
      </x:c>
      <x:c r="Y63" t="str">
        <x:v>endpoint not visible</x:v>
      </x:c>
      <x:c r="Z63" t="str">
        <x:v>Rater note: Best part is the pacing: it gives enough time to understand clipping without turning into a beauty shot. Minor issue: tool rotation is a beat late. The issue is subtle visually, but it matters because the clip is supposed to teach the technique. Continuity is useful here, but it cannot replace showing the actual contact point.</x:v>
      </x:c>
      <x:c r="AA63" t="str">
        <x:v>Add a one-sentence end-state requirement: viewer must see the completed clipping result for one full second.</x:v>
      </x:c>
      <x:c r="AB63" t="str">
        <x:v>Medium</x:v>
      </x:c>
      <x:c r="AC63" t="str"/>
      <x:c r="AD63" t="str">
        <x:v>Planning dataset only; scores are plausible placeholders, not vendor claims.</x:v>
      </x:c>
    </x:row>
    <x:row r="64">
      <x:c r="A64" t="str">
        <x:v>S011-Runway-SEQ</x:v>
      </x:c>
      <x:c r="B64" t="str">
        <x:v>S011</x:v>
      </x:c>
      <x:c r="C64" t="str">
        <x:v>Plumbing</x:v>
      </x:c>
      <x:c r="D64" t="str">
        <x:v>toilet repair</x:v>
      </x:c>
      <x:c r="E64" t="str">
        <x:v>clipping</x:v>
      </x:c>
      <x:c r="F64" t="n">
        <x:v>2</x:v>
      </x:c>
      <x:c r="G64" t="str">
        <x:v>clip the refill tube onto the overflow pipe</x:v>
      </x:c>
      <x:c r="H64" t="str">
        <x:v>refill tube clip</x:v>
      </x:c>
      <x:c r="I64" t="str">
        <x:v>overflow pipe, refill tube</x:v>
      </x:c>
      <x:c r="J64" t="str">
        <x:v>Runway Gen-4.5</x:v>
      </x:c>
      <x:c r="K64" t="str">
        <x:v>Sequential Context</x:v>
      </x:c>
      <x:c r="L64" t="str">
        <x:v>Provides previous and next step for continuity without asking for them to appear.</x:v>
      </x:c>
      <x:c r="M64" t="str">
        <x:v>Close-up realistic instructional DIY video: clip the refill tube onto the overflow pipe. Show refill tube clip working on overflow pipe, refill tube. Hands visible, stable camera, no text overlay, neutral shop lighting. This is the middle clip in a sequence. Previous step has already prepared the work area; next step will verify the result. Keep the same workpiece, camera distance, and hand orientation.</x:v>
      </x:c>
      <x:c r="N64" s="14" t="n">
        <x:v>5</x:v>
      </x:c>
      <x:c r="O64" s="14" t="n">
        <x:v>100112</x:v>
      </x:c>
      <x:c r="P64" t="str">
        <x:v>R-E</x:v>
      </x:c>
      <x:c r="Q64" s="12" t="n">
        <x:v>3.63</x:v>
      </x:c>
      <x:c r="R64" s="12" t="n">
        <x:v>4.11</x:v>
      </x:c>
      <x:c r="S64" s="12" t="n">
        <x:v>3.71</x:v>
      </x:c>
      <x:c r="T64" s="12" t="n">
        <x:v>4.17</x:v>
      </x:c>
      <x:c r="U64" s="12" t="n">
        <x:v>3.56</x:v>
      </x:c>
      <x:c r="V64" s="12" t="n">
        <x:v>4.15</x:v>
      </x:c>
      <x:c r="W64" s="12" t="n">
        <x:f>ROUND((Q64*0.24)+(R64*0.22)+(S64*0.16)+(T64*0.18)+(U64*0.10)+(V64*0.10),2)</x:f>
        <x:v>3.89</x:v>
      </x:c>
      <x:c r="X64" t="str">
        <x:f>IF(W64&gt;=3.55,"Pass","Fail")</x:f>
        <x:v>Pass</x:v>
      </x:c>
      <x:c r="Y64" t="str">
        <x:v>motion slightly compressed</x:v>
      </x:c>
      <x:c r="Z64" t="str">
        <x:v>Human check: Looks plausible at first glance. On a second pass, the overflow pipe, refill tube shifts slightly and the model seems to infer the outcome rather than show the full clipping. I marked it down for the key moment rather than the opening setup. Continuity is useful here, but it cannot replace showing the actual contact point.</x:v>
      </x:c>
      <x:c r="AA64" t="str">
        <x:v>Use a reference image for the refill tube clip and specify its grip/orientation in plain language.</x:v>
      </x:c>
      <x:c r="AB64" t="str">
        <x:v>Medium-High</x:v>
      </x:c>
      <x:c r="AC64" t="str"/>
      <x:c r="AD64" t="str">
        <x:v>Planning dataset only; scores are plausible placeholders, not vendor claims.</x:v>
      </x:c>
    </x:row>
    <x:row r="65">
      <x:c r="A65" t="str">
        <x:v>S011-Kling-SEQ</x:v>
      </x:c>
      <x:c r="B65" t="str">
        <x:v>S011</x:v>
      </x:c>
      <x:c r="C65" t="str">
        <x:v>Plumbing</x:v>
      </x:c>
      <x:c r="D65" t="str">
        <x:v>toilet repair</x:v>
      </x:c>
      <x:c r="E65" t="str">
        <x:v>clipping</x:v>
      </x:c>
      <x:c r="F65" t="n">
        <x:v>2</x:v>
      </x:c>
      <x:c r="G65" t="str">
        <x:v>clip the refill tube onto the overflow pipe</x:v>
      </x:c>
      <x:c r="H65" t="str">
        <x:v>refill tube clip</x:v>
      </x:c>
      <x:c r="I65" t="str">
        <x:v>overflow pipe, refill tube</x:v>
      </x:c>
      <x:c r="J65" t="str">
        <x:v>Kling v3.0 (Replicate)</x:v>
      </x:c>
      <x:c r="K65" t="str">
        <x:v>Sequential Context</x:v>
      </x:c>
      <x:c r="L65" t="str">
        <x:v>Provides previous and next step for continuity without asking for them to appear.</x:v>
      </x:c>
      <x:c r="M65" t="str">
        <x:v>Close-up realistic instructional DIY video: clip the refill tube onto the overflow pipe. Show refill tube clip working on overflow pipe, refill tube. Hands visible, stable camera, no text overlay, neutral shop lighting. This is the middle clip in a sequence. Previous step has already prepared the work area; next step will verify the result. Keep the same workpiece, camera distance, and hand orientation.</x:v>
      </x:c>
      <x:c r="N65" s="14" t="n">
        <x:v>10</x:v>
      </x:c>
      <x:c r="O65" s="14" t="n">
        <x:v>100113</x:v>
      </x:c>
      <x:c r="P65" t="str">
        <x:v>R-B</x:v>
      </x:c>
      <x:c r="Q65" s="12" t="n">
        <x:v>3.83</x:v>
      </x:c>
      <x:c r="R65" s="12" t="n">
        <x:v>4.1</x:v>
      </x:c>
      <x:c r="S65" s="12" t="n">
        <x:v>3.78</x:v>
      </x:c>
      <x:c r="T65" s="12" t="n">
        <x:v>3.59</x:v>
      </x:c>
      <x:c r="U65" s="12" t="n">
        <x:v>3.92</x:v>
      </x:c>
      <x:c r="V65" s="12" t="n">
        <x:v>3.7</x:v>
      </x:c>
      <x:c r="W65" s="12" t="n">
        <x:f>ROUND((Q65*0.24)+(R65*0.22)+(S65*0.16)+(T65*0.18)+(U65*0.10)+(V65*0.10),2)</x:f>
        <x:v>3.83</x:v>
      </x:c>
      <x:c r="X65" t="str">
        <x:f>IF(W65&gt;=3.55,"Pass","Fail")</x:f>
        <x:v>Pass</x:v>
      </x:c>
      <x:c r="Y65" t="str">
        <x:v>contact point hidden</x:v>
      </x:c>
      <x:c r="Z65" t="str">
        <x:v>Human check: I would keep this as a rough candidate. It communicates the step, although the failure mode makes it weaker than a real sourced clip: contact point hidden. The prompt should prioritize hand path over cinematic lighting. Continuity is useful here, but it cannot replace showing the actual contact point.</x:v>
      </x:c>
      <x:c r="AA65" t="str">
        <x:v>Use sequential context only for continuity, not for adding previous/next steps into the frame.</x:v>
      </x:c>
      <x:c r="AB65" t="str">
        <x:v>Medium</x:v>
      </x:c>
      <x:c r="AC65" t="str"/>
      <x:c r="AD65" t="str">
        <x:v>Mock rater record for experiment design; audit against real video outputs before publication.</x:v>
      </x:c>
    </x:row>
    <x:row r="66">
      <x:c r="A66" t="str">
        <x:v>S011-Pika-SEQ</x:v>
      </x:c>
      <x:c r="B66" t="str">
        <x:v>S011</x:v>
      </x:c>
      <x:c r="C66" t="str">
        <x:v>Plumbing</x:v>
      </x:c>
      <x:c r="D66" t="str">
        <x:v>toilet repair</x:v>
      </x:c>
      <x:c r="E66" t="str">
        <x:v>clipping</x:v>
      </x:c>
      <x:c r="F66" t="n">
        <x:v>2</x:v>
      </x:c>
      <x:c r="G66" t="str">
        <x:v>clip the refill tube onto the overflow pipe</x:v>
      </x:c>
      <x:c r="H66" t="str">
        <x:v>refill tube clip</x:v>
      </x:c>
      <x:c r="I66" t="str">
        <x:v>overflow pipe, refill tube</x:v>
      </x:c>
      <x:c r="J66" t="str">
        <x:v>Pika 2.2</x:v>
      </x:c>
      <x:c r="K66" t="str">
        <x:v>Sequential Context</x:v>
      </x:c>
      <x:c r="L66" t="str">
        <x:v>Provides previous and next step for continuity without asking for them to appear.</x:v>
      </x:c>
      <x:c r="M66" t="str">
        <x:v>Close-up realistic instructional DIY video: clip the refill tube onto the overflow pipe. Show refill tube clip working on overflow pipe, refill tube. Hands visible, stable camera, no text overlay, neutral shop lighting. This is the middle clip in a sequence. Previous step has already prepared the work area; next step will verify the result. Keep the same workpiece, camera distance, and hand orientation.</x:v>
      </x:c>
      <x:c r="N66" s="14" t="n">
        <x:v>5</x:v>
      </x:c>
      <x:c r="O66" s="14" t="n">
        <x:v>100114</x:v>
      </x:c>
      <x:c r="P66" t="str">
        <x:v>R-B</x:v>
      </x:c>
      <x:c r="Q66" s="12" t="n">
        <x:v>3.5</x:v>
      </x:c>
      <x:c r="R66" s="12" t="n">
        <x:v>3.78</x:v>
      </x:c>
      <x:c r="S66" s="12" t="n">
        <x:v>3.38</x:v>
      </x:c>
      <x:c r="T66" s="12" t="n">
        <x:v>3.76</x:v>
      </x:c>
      <x:c r="U66" s="12" t="n">
        <x:v>4.06</x:v>
      </x:c>
      <x:c r="V66" s="12" t="n">
        <x:v>3.77</x:v>
      </x:c>
      <x:c r="W66" s="12" t="n">
        <x:f>ROUND((Q66*0.24)+(R66*0.22)+(S66*0.16)+(T66*0.18)+(U66*0.10)+(V66*0.10),2)</x:f>
        <x:v>3.67</x:v>
      </x:c>
      <x:c r="X66" t="str">
        <x:f>IF(W66&gt;=3.55,"Pass","Fail")</x:f>
        <x:v>Pass</x:v>
      </x:c>
      <x:c r="Y66" t="str">
        <x:v>action starts too late</x:v>
      </x:c>
      <x:c r="Z66" t="str">
        <x:v>QA note: The intention is clear, especially if you already know the step. A novice might miss the key detail because this issue appears right where the action should be most explicit: action starts too late. This would be safer as a reference-aided run than a text-only run. Continuity is useful here, but it cannot replace showing the actual contact point.</x:v>
      </x:c>
      <x:c r="AA66" t="str">
        <x:v>Ask for a static close-up and require the refill tube clip to touch the overflow pipe, refill tube before any motion starts.</x:v>
      </x:c>
      <x:c r="AB66" t="str">
        <x:v>Medium-High</x:v>
      </x:c>
      <x:c r="AC66" t="str"/>
      <x:c r="AD66" t="str">
        <x:v>Simulated pilot row for planning; replace with blinded ratings after generating actual clips.</x:v>
      </x:c>
    </x:row>
    <x:row r="67">
      <x:c r="A67" t="str">
        <x:v>S011-Vidu-SEQ</x:v>
      </x:c>
      <x:c r="B67" t="str">
        <x:v>S011</x:v>
      </x:c>
      <x:c r="C67" t="str">
        <x:v>Plumbing</x:v>
      </x:c>
      <x:c r="D67" t="str">
        <x:v>toilet repair</x:v>
      </x:c>
      <x:c r="E67" t="str">
        <x:v>clipping</x:v>
      </x:c>
      <x:c r="F67" t="n">
        <x:v>2</x:v>
      </x:c>
      <x:c r="G67" t="str">
        <x:v>clip the refill tube onto the overflow pipe</x:v>
      </x:c>
      <x:c r="H67" t="str">
        <x:v>refill tube clip</x:v>
      </x:c>
      <x:c r="I67" t="str">
        <x:v>overflow pipe, refill tube</x:v>
      </x:c>
      <x:c r="J67" t="str">
        <x:v>Vidu 2.0</x:v>
      </x:c>
      <x:c r="K67" t="str">
        <x:v>Sequential Context</x:v>
      </x:c>
      <x:c r="L67" t="str">
        <x:v>Provides previous and next step for continuity without asking for them to appear.</x:v>
      </x:c>
      <x:c r="M67" t="str">
        <x:v>Close-up realistic instructional DIY video: clip the refill tube onto the overflow pipe. Show refill tube clip working on overflow pipe, refill tube. Hands visible, stable camera, no text overlay, neutral shop lighting. This is the middle clip in a sequence. Previous step has already prepared the work area; next step will verify the result. Keep the same workpiece, camera distance, and hand orientation.</x:v>
      </x:c>
      <x:c r="N67" s="14" t="n">
        <x:v>5</x:v>
      </x:c>
      <x:c r="O67" s="14" t="n">
        <x:v>100115</x:v>
      </x:c>
      <x:c r="P67" t="str">
        <x:v>R-B</x:v>
      </x:c>
      <x:c r="Q67" s="12" t="n">
        <x:v>3.67</x:v>
      </x:c>
      <x:c r="R67" s="12" t="n">
        <x:v>3.38</x:v>
      </x:c>
      <x:c r="S67" s="12" t="n">
        <x:v>3.48</x:v>
      </x:c>
      <x:c r="T67" s="12" t="n">
        <x:v>3.58</x:v>
      </x:c>
      <x:c r="U67" s="12" t="n">
        <x:v>3.37</x:v>
      </x:c>
      <x:c r="V67" s="12" t="n">
        <x:v>4</x:v>
      </x:c>
      <x:c r="W67" s="12" t="n">
        <x:f>ROUND((Q67*0.24)+(R67*0.22)+(S67*0.16)+(T67*0.18)+(U67*0.10)+(V67*0.10),2)</x:f>
        <x:v>3.56</x:v>
      </x:c>
      <x:c r="X67" t="str">
        <x:f>IF(W67&gt;=3.55,"Pass","Fail")</x:f>
        <x:v>Pass</x:v>
      </x:c>
      <x:c r="Y67" t="str">
        <x:v>camera blocks work</x:v>
      </x:c>
      <x:c r="Z67" t="str">
        <x:v>Human check: I would keep this as a rough candidate. It communicates the step, although the failure mode makes it weaker than a real sourced clip: camera blocks work. I marked it down for the key moment rather than the opening setup. Continuity is useful here, but it cannot replace showing the actual contact point.</x:v>
      </x:c>
      <x:c r="AA67" t="str">
        <x:v>Use sequential context only for continuity, not for adding previous/next steps into the frame.</x:v>
      </x:c>
      <x:c r="AB67" t="str">
        <x:v>Medium</x:v>
      </x:c>
      <x:c r="AC67" t="str"/>
      <x:c r="AD67" t="str">
        <x:v>Simulated pilot row for planning; replace with blinded ratings after generating actual clips.</x:v>
      </x:c>
    </x:row>
    <x:row r="68">
      <x:c r="A68" t="str">
        <x:v>S012-Veo-CON</x:v>
      </x:c>
      <x:c r="B68" t="str">
        <x:v>S012</x:v>
      </x:c>
      <x:c r="C68" t="str">
        <x:v>Plumbing</x:v>
      </x:c>
      <x:c r="D68" t="str">
        <x:v>cartridge service</x:v>
      </x:c>
      <x:c r="E68" t="str">
        <x:v>pulling</x:v>
      </x:c>
      <x:c r="F68" t="n">
        <x:v>4</x:v>
      </x:c>
      <x:c r="G68" t="str">
        <x:v>pull a shower cartridge straight out of the valve body</x:v>
      </x:c>
      <x:c r="H68" t="str">
        <x:v>cartridge puller</x:v>
      </x:c>
      <x:c r="I68" t="str">
        <x:v>shower valve body, cartridge</x:v>
      </x:c>
      <x:c r="J68" t="str">
        <x:v>Veo 3.1</x:v>
      </x:c>
      <x:c r="K68" t="str">
        <x:v>Constraint-Rich Negative Prompt</x:v>
      </x:c>
      <x:c r="L68" t="str">
        <x:v>Adds concise no-floating-tools/no-extra-objects/no-morphing constraints.</x:v>
      </x:c>
      <x:c r="M68" t="str">
        <x:v>Close-up realistic instructional DIY video: pull a shower cartridge straight out of the valve body. Show cartridge puller working on shower valve body, cartridge. Hands visible, stable camera, no text overlay, neutral shop lighting. Constraints: no floating tools, no extra tools, no morphing hands, no reversed motion, no impossible deformation, no dramatic camera spin. Keep the full action legible.</x:v>
      </x:c>
      <x:c r="N68" s="14" t="n">
        <x:v>8</x:v>
      </x:c>
      <x:c r="O68" s="14" t="n">
        <x:v>100120</x:v>
      </x:c>
      <x:c r="P68" t="str">
        <x:v>R-E</x:v>
      </x:c>
      <x:c r="Q68" s="12" t="n">
        <x:v>3.46</x:v>
      </x:c>
      <x:c r="R68" s="12" t="n">
        <x:v>4.63</x:v>
      </x:c>
      <x:c r="S68" s="12" t="n">
        <x:v>3.97</x:v>
      </x:c>
      <x:c r="T68" s="12" t="n">
        <x:v>4.75</x:v>
      </x:c>
      <x:c r="U68" s="12" t="n">
        <x:v>4.11</x:v>
      </x:c>
      <x:c r="V68" s="12" t="n">
        <x:v>3.91</x:v>
      </x:c>
      <x:c r="W68" s="12" t="n">
        <x:f>ROUND((Q68*0.24)+(R68*0.22)+(S68*0.16)+(T68*0.18)+(U68*0.10)+(V68*0.10),2)</x:f>
        <x:v>4.14</x:v>
      </x:c>
      <x:c r="X68" t="str">
        <x:f>IF(W68&gt;=3.55,"Pass","Fail")</x:f>
        <x:v>Pass</x:v>
      </x:c>
      <x:c r="Y68" t="str">
        <x:v>minor continuity jump</x:v>
      </x:c>
      <x:c r="Z68" t="str">
        <x:v>Human check: The intention is clear, especially if you already know the step. A novice might miss the key detail because this issue appears right where the action should be most explicit: minor continuity jump. The prompt should prioritize hand path over cinematic lighting. The negative constraints help, but they do not fully solve the mechanics.</x:v>
      </x:c>
      <x:c r="AA68" t="str">
        <x:v>Move safety language earlier in the prompt and remove cinematic camera instructions.</x:v>
      </x:c>
      <x:c r="AB68" t="str">
        <x:v>High</x:v>
      </x:c>
      <x:c r="AC68" t="str"/>
      <x:c r="AD68" t="str">
        <x:v>Planning dataset only; scores are plausible placeholders, not vendor claims.</x:v>
      </x:c>
    </x:row>
    <x:row r="69">
      <x:c r="A69" t="str">
        <x:v>S012-Sora-CON</x:v>
      </x:c>
      <x:c r="B69" t="str">
        <x:v>S012</x:v>
      </x:c>
      <x:c r="C69" t="str">
        <x:v>Plumbing</x:v>
      </x:c>
      <x:c r="D69" t="str">
        <x:v>cartridge service</x:v>
      </x:c>
      <x:c r="E69" t="str">
        <x:v>pulling</x:v>
      </x:c>
      <x:c r="F69" t="n">
        <x:v>4</x:v>
      </x:c>
      <x:c r="G69" t="str">
        <x:v>pull a shower cartridge straight out of the valve body</x:v>
      </x:c>
      <x:c r="H69" t="str">
        <x:v>cartridge puller</x:v>
      </x:c>
      <x:c r="I69" t="str">
        <x:v>shower valve body, cartridge</x:v>
      </x:c>
      <x:c r="J69" t="str">
        <x:v>Sora 2 Pro</x:v>
      </x:c>
      <x:c r="K69" t="str">
        <x:v>Constraint-Rich Negative Prompt</x:v>
      </x:c>
      <x:c r="L69" t="str">
        <x:v>Adds concise no-floating-tools/no-extra-objects/no-morphing constraints.</x:v>
      </x:c>
      <x:c r="M69" t="str">
        <x:v>Close-up realistic instructional DIY video: pull a shower cartridge straight out of the valve body. Show cartridge puller working on shower valve body, cartridge. Hands visible, stable camera, no text overlay, neutral shop lighting. Constraints: no floating tools, no extra tools, no morphing hands, no reversed motion, no impossible deformation, no dramatic camera spin. Keep the full action legible.</x:v>
      </x:c>
      <x:c r="N69" s="14" t="n">
        <x:v>8</x:v>
      </x:c>
      <x:c r="O69" s="14" t="n">
        <x:v>100121</x:v>
      </x:c>
      <x:c r="P69" t="str">
        <x:v>R-D</x:v>
      </x:c>
      <x:c r="Q69" s="12" t="n">
        <x:v>4.4</x:v>
      </x:c>
      <x:c r="R69" s="12" t="n">
        <x:v>4.18</x:v>
      </x:c>
      <x:c r="S69" s="12" t="n">
        <x:v>4.61</x:v>
      </x:c>
      <x:c r="T69" s="12" t="n">
        <x:v>3.48</x:v>
      </x:c>
      <x:c r="U69" s="12" t="n">
        <x:v>3.83</x:v>
      </x:c>
      <x:c r="V69" s="12" t="n">
        <x:v>4.13</x:v>
      </x:c>
      <x:c r="W69" s="12" t="n">
        <x:f>ROUND((Q69*0.24)+(R69*0.22)+(S69*0.16)+(T69*0.18)+(U69*0.10)+(V69*0.10),2)</x:f>
        <x:v>4.14</x:v>
      </x:c>
      <x:c r="X69" t="str">
        <x:f>IF(W69&gt;=3.55,"Pass","Fail")</x:f>
        <x:v>Pass</x:v>
      </x:c>
      <x:c r="Y69" t="str">
        <x:v>motion slightly compressed</x:v>
      </x:c>
      <x:c r="Z69" t="str">
        <x:v>QA note: Usable, but I would not show it without review. The cartridge puller is recognizable, yet the exact contact point is hard to see when the hand crosses the frame. The prompt should prioritize hand path over cinematic lighting. The negative constraints help, but they do not fully solve the mechanics.</x:v>
      </x:c>
      <x:c r="AA69" t="str">
        <x:v>Add a one-sentence end-state requirement: viewer must see the completed pulling result for one full second.</x:v>
      </x:c>
      <x:c r="AB69" t="str">
        <x:v>High</x:v>
      </x:c>
      <x:c r="AC69" t="str"/>
      <x:c r="AD69" t="str">
        <x:v>Simulated pilot row for planning; replace with blinded ratings after generating actual clips.</x:v>
      </x:c>
    </x:row>
    <x:row r="70">
      <x:c r="A70" t="str">
        <x:v>S012-Runway-CON</x:v>
      </x:c>
      <x:c r="B70" t="str">
        <x:v>S012</x:v>
      </x:c>
      <x:c r="C70" t="str">
        <x:v>Plumbing</x:v>
      </x:c>
      <x:c r="D70" t="str">
        <x:v>cartridge service</x:v>
      </x:c>
      <x:c r="E70" t="str">
        <x:v>pulling</x:v>
      </x:c>
      <x:c r="F70" t="n">
        <x:v>4</x:v>
      </x:c>
      <x:c r="G70" t="str">
        <x:v>pull a shower cartridge straight out of the valve body</x:v>
      </x:c>
      <x:c r="H70" t="str">
        <x:v>cartridge puller</x:v>
      </x:c>
      <x:c r="I70" t="str">
        <x:v>shower valve body, cartridge</x:v>
      </x:c>
      <x:c r="J70" t="str">
        <x:v>Runway Gen-4.5</x:v>
      </x:c>
      <x:c r="K70" t="str">
        <x:v>Constraint-Rich Negative Prompt</x:v>
      </x:c>
      <x:c r="L70" t="str">
        <x:v>Adds concise no-floating-tools/no-extra-objects/no-morphing constraints.</x:v>
      </x:c>
      <x:c r="M70" t="str">
        <x:v>Close-up realistic instructional DIY video: pull a shower cartridge straight out of the valve body. Show cartridge puller working on shower valve body, cartridge. Hands visible, stable camera, no text overlay, neutral shop lighting. Constraints: no floating tools, no extra tools, no morphing hands, no reversed motion, no impossible deformation, no dramatic camera spin. Keep the full action legible.</x:v>
      </x:c>
      <x:c r="N70" s="14" t="n">
        <x:v>5</x:v>
      </x:c>
      <x:c r="O70" s="14" t="n">
        <x:v>100122</x:v>
      </x:c>
      <x:c r="P70" t="str">
        <x:v>R-C</x:v>
      </x:c>
      <x:c r="Q70" s="12" t="n">
        <x:v>3.7</x:v>
      </x:c>
      <x:c r="R70" s="12" t="n">
        <x:v>3.53</x:v>
      </x:c>
      <x:c r="S70" s="12" t="n">
        <x:v>3.42</x:v>
      </x:c>
      <x:c r="T70" s="12" t="n">
        <x:v>4.11</x:v>
      </x:c>
      <x:c r="U70" s="12" t="n">
        <x:v>3.7</x:v>
      </x:c>
      <x:c r="V70" s="12" t="n">
        <x:v>3.69</x:v>
      </x:c>
      <x:c r="W70" s="12" t="n">
        <x:f>ROUND((Q70*0.24)+(R70*0.22)+(S70*0.16)+(T70*0.18)+(U70*0.10)+(V70*0.10),2)</x:f>
        <x:v>3.69</x:v>
      </x:c>
      <x:c r="X70" t="str">
        <x:f>IF(W70&gt;=3.55,"Pass","Fail")</x:f>
        <x:v>Pass</x:v>
      </x:c>
      <x:c r="Y70" t="str">
        <x:v>material looks wrong</x:v>
      </x:c>
      <x:c r="Z70" t="str">
        <x:v>Rater note: Usable, but I would not show it without review. The cartridge puller is recognizable, yet the exact contact point is hard to see when the hand crosses the frame. I marked it down for the key moment rather than the opening setup. The negative constraints help, but they do not fully solve the mechanics.</x:v>
      </x:c>
      <x:c r="AA70" t="str">
        <x:v>Use a reference image for the cartridge puller and specify its grip/orientation in plain language.</x:v>
      </x:c>
      <x:c r="AB70" t="str">
        <x:v>Medium</x:v>
      </x:c>
      <x:c r="AC70" t="str"/>
      <x:c r="AD70" t="str">
        <x:v>Simulated pilot row for planning; replace with blinded ratings after generating actual clips.</x:v>
      </x:c>
    </x:row>
    <x:row r="71">
      <x:c r="A71" t="str">
        <x:v>S012-Kling-CON</x:v>
      </x:c>
      <x:c r="B71" t="str">
        <x:v>S012</x:v>
      </x:c>
      <x:c r="C71" t="str">
        <x:v>Plumbing</x:v>
      </x:c>
      <x:c r="D71" t="str">
        <x:v>cartridge service</x:v>
      </x:c>
      <x:c r="E71" t="str">
        <x:v>pulling</x:v>
      </x:c>
      <x:c r="F71" t="n">
        <x:v>4</x:v>
      </x:c>
      <x:c r="G71" t="str">
        <x:v>pull a shower cartridge straight out of the valve body</x:v>
      </x:c>
      <x:c r="H71" t="str">
        <x:v>cartridge puller</x:v>
      </x:c>
      <x:c r="I71" t="str">
        <x:v>shower valve body, cartridge</x:v>
      </x:c>
      <x:c r="J71" t="str">
        <x:v>Kling v3.0 (Replicate)</x:v>
      </x:c>
      <x:c r="K71" t="str">
        <x:v>Constraint-Rich Negative Prompt</x:v>
      </x:c>
      <x:c r="L71" t="str">
        <x:v>Adds concise no-floating-tools/no-extra-objects/no-morphing constraints.</x:v>
      </x:c>
      <x:c r="M71" t="str">
        <x:v>Close-up realistic instructional DIY video: pull a shower cartridge straight out of the valve body. Show cartridge puller working on shower valve body, cartridge. Hands visible, stable camera, no text overlay, neutral shop lighting. Constraints: no floating tools, no extra tools, no morphing hands, no reversed motion, no impossible deformation, no dramatic camera spin. Keep the full action legible.</x:v>
      </x:c>
      <x:c r="N71" s="14" t="n">
        <x:v>10</x:v>
      </x:c>
      <x:c r="O71" s="14" t="n">
        <x:v>100123</x:v>
      </x:c>
      <x:c r="P71" t="str">
        <x:v>R-B</x:v>
      </x:c>
      <x:c r="Q71" s="12" t="n">
        <x:v>3.82</x:v>
      </x:c>
      <x:c r="R71" s="12" t="n">
        <x:v>3.86</x:v>
      </x:c>
      <x:c r="S71" s="12" t="n">
        <x:v>3.48</x:v>
      </x:c>
      <x:c r="T71" s="12" t="n">
        <x:v>4.04</x:v>
      </x:c>
      <x:c r="U71" s="12" t="n">
        <x:v>3.1</x:v>
      </x:c>
      <x:c r="V71" s="12" t="n">
        <x:v>3.87</x:v>
      </x:c>
      <x:c r="W71" s="12" t="n">
        <x:f>ROUND((Q71*0.24)+(R71*0.22)+(S71*0.16)+(T71*0.18)+(U71*0.10)+(V71*0.10),2)</x:f>
        <x:v>3.75</x:v>
      </x:c>
      <x:c r="X71" t="str">
        <x:f>IF(W71&gt;=3.55,"Pass","Fail")</x:f>
        <x:v>Pass</x:v>
      </x:c>
      <x:c r="Y71" t="str">
        <x:v>object morphs</x:v>
      </x:c>
      <x:c r="Z71" t="str">
        <x:v>QA note: I would keep this as a rough candidate. It communicates the step, although the failure mode makes it weaker than a real sourced clip: object morphs. The next prompt should slow the final second instead of adding more scene detail. The negative constraints help, but they do not fully solve the mechanics.</x:v>
      </x:c>
      <x:c r="AA71" t="str">
        <x:v>Use sequential context only for continuity, not for adding previous/next steps into the frame.</x:v>
      </x:c>
      <x:c r="AB71" t="str">
        <x:v>High</x:v>
      </x:c>
      <x:c r="AC71" t="str"/>
      <x:c r="AD71" t="str">
        <x:v>Mock rater record for experiment design; audit against real video outputs before publication.</x:v>
      </x:c>
    </x:row>
    <x:row r="72">
      <x:c r="A72" t="str">
        <x:v>S012-Pika-CON</x:v>
      </x:c>
      <x:c r="B72" t="str">
        <x:v>S012</x:v>
      </x:c>
      <x:c r="C72" t="str">
        <x:v>Plumbing</x:v>
      </x:c>
      <x:c r="D72" t="str">
        <x:v>cartridge service</x:v>
      </x:c>
      <x:c r="E72" t="str">
        <x:v>pulling</x:v>
      </x:c>
      <x:c r="F72" t="n">
        <x:v>4</x:v>
      </x:c>
      <x:c r="G72" t="str">
        <x:v>pull a shower cartridge straight out of the valve body</x:v>
      </x:c>
      <x:c r="H72" t="str">
        <x:v>cartridge puller</x:v>
      </x:c>
      <x:c r="I72" t="str">
        <x:v>shower valve body, cartridge</x:v>
      </x:c>
      <x:c r="J72" t="str">
        <x:v>Pika 2.2</x:v>
      </x:c>
      <x:c r="K72" t="str">
        <x:v>Constraint-Rich Negative Prompt</x:v>
      </x:c>
      <x:c r="L72" t="str">
        <x:v>Adds concise no-floating-tools/no-extra-objects/no-morphing constraints.</x:v>
      </x:c>
      <x:c r="M72" t="str">
        <x:v>Close-up realistic instructional DIY video: pull a shower cartridge straight out of the valve body. Show cartridge puller working on shower valve body, cartridge. Hands visible, stable camera, no text overlay, neutral shop lighting. Constraints: no floating tools, no extra tools, no morphing hands, no reversed motion, no impossible deformation, no dramatic camera spin. Keep the full action legible.</x:v>
      </x:c>
      <x:c r="N72" s="14" t="n">
        <x:v>5</x:v>
      </x:c>
      <x:c r="O72" s="14" t="n">
        <x:v>100124</x:v>
      </x:c>
      <x:c r="P72" t="str">
        <x:v>R-E</x:v>
      </x:c>
      <x:c r="Q72" s="12" t="n">
        <x:v>2.91</x:v>
      </x:c>
      <x:c r="R72" s="12" t="n">
        <x:v>3.02</x:v>
      </x:c>
      <x:c r="S72" s="12" t="n">
        <x:v>3.32</x:v>
      </x:c>
      <x:c r="T72" s="12" t="n">
        <x:v>3.34</x:v>
      </x:c>
      <x:c r="U72" s="12" t="n">
        <x:v>3.42</x:v>
      </x:c>
      <x:c r="V72" s="12" t="n">
        <x:v>3.29</x:v>
      </x:c>
      <x:c r="W72" s="12" t="n">
        <x:f>ROUND((Q72*0.24)+(R72*0.22)+(S72*0.16)+(T72*0.18)+(U72*0.10)+(V72*0.10),2)</x:f>
        <x:v>3.17</x:v>
      </x:c>
      <x:c r="X72" t="str">
        <x:f>IF(W72&gt;=3.55,"Pass","Fail")</x:f>
        <x:v>Fail</x:v>
      </x:c>
      <x:c r="Y72" t="str">
        <x:v>object morphs</x:v>
      </x:c>
      <x:c r="Z72" t="str">
        <x:v>Rater note: The clip looks like generic DIY stock footage rather than this specific step. The main problem is object morphs, and the end state is not verifiable. On a small preview it might pass, but full-screen review exposes the issue. The negative constraints help, but they do not fully solve the mechanics.</x:v>
      </x:c>
      <x:c r="AA72" t="str">
        <x:v>Break the action into start, contact, movement, and finish; ban extra tools and hand morphing.</x:v>
      </x:c>
      <x:c r="AB72" t="str">
        <x:v>Medium</x:v>
      </x:c>
      <x:c r="AC72" t="str"/>
      <x:c r="AD72" t="str">
        <x:v>Mock rater record for experiment design; audit against real video outputs before publication.</x:v>
      </x:c>
    </x:row>
    <x:row r="73">
      <x:c r="A73" t="str">
        <x:v>S012-Vidu-CON</x:v>
      </x:c>
      <x:c r="B73" t="str">
        <x:v>S012</x:v>
      </x:c>
      <x:c r="C73" t="str">
        <x:v>Plumbing</x:v>
      </x:c>
      <x:c r="D73" t="str">
        <x:v>cartridge service</x:v>
      </x:c>
      <x:c r="E73" t="str">
        <x:v>pulling</x:v>
      </x:c>
      <x:c r="F73" t="n">
        <x:v>4</x:v>
      </x:c>
      <x:c r="G73" t="str">
        <x:v>pull a shower cartridge straight out of the valve body</x:v>
      </x:c>
      <x:c r="H73" t="str">
        <x:v>cartridge puller</x:v>
      </x:c>
      <x:c r="I73" t="str">
        <x:v>shower valve body, cartridge</x:v>
      </x:c>
      <x:c r="J73" t="str">
        <x:v>Vidu 2.0</x:v>
      </x:c>
      <x:c r="K73" t="str">
        <x:v>Constraint-Rich Negative Prompt</x:v>
      </x:c>
      <x:c r="L73" t="str">
        <x:v>Adds concise no-floating-tools/no-extra-objects/no-morphing constraints.</x:v>
      </x:c>
      <x:c r="M73" t="str">
        <x:v>Close-up realistic instructional DIY video: pull a shower cartridge straight out of the valve body. Show cartridge puller working on shower valve body, cartridge. Hands visible, stable camera, no text overlay, neutral shop lighting. Constraints: no floating tools, no extra tools, no morphing hands, no reversed motion, no impossible deformation, no dramatic camera spin. Keep the full action legible.</x:v>
      </x:c>
      <x:c r="N73" s="14" t="n">
        <x:v>5</x:v>
      </x:c>
      <x:c r="O73" s="14" t="n">
        <x:v>100125</x:v>
      </x:c>
      <x:c r="P73" t="str">
        <x:v>R-A</x:v>
      </x:c>
      <x:c r="Q73" s="12" t="n">
        <x:v>3.13</x:v>
      </x:c>
      <x:c r="R73" s="12" t="n">
        <x:v>3.01</x:v>
      </x:c>
      <x:c r="S73" s="12" t="n">
        <x:v>3.75</x:v>
      </x:c>
      <x:c r="T73" s="12" t="n">
        <x:v>3.22</x:v>
      </x:c>
      <x:c r="U73" s="12" t="n">
        <x:v>3.65</x:v>
      </x:c>
      <x:c r="V73" s="12" t="n">
        <x:v>3.06</x:v>
      </x:c>
      <x:c r="W73" s="12" t="n">
        <x:f>ROUND((Q73*0.24)+(R73*0.22)+(S73*0.16)+(T73*0.18)+(U73*0.10)+(V73*0.10),2)</x:f>
        <x:v>3.26</x:v>
      </x:c>
      <x:c r="X73" t="str">
        <x:f>IF(W73&gt;=3.55,"Pass","Fail")</x:f>
        <x:v>Fail</x:v>
      </x:c>
      <x:c r="Y73" t="str">
        <x:v>action starts too late</x:v>
      </x:c>
      <x:c r="Z73" t="str">
        <x:v>Rater note: A reviewer would likely reject this. It may be visually attractive, but the tool/object relationship breaks during the important moment. The tool silhouette is acceptable; the mechanics are the weak part. The negative constraints help, but they do not fully solve the mechanics.</x:v>
      </x:c>
      <x:c r="AA73" t="str">
        <x:v>Ask for a static close-up and require the cartridge puller to touch the shower valve body, cartridge before any motion starts.</x:v>
      </x:c>
      <x:c r="AB73" t="str">
        <x:v>Medium-High</x:v>
      </x:c>
      <x:c r="AC73" t="str"/>
      <x:c r="AD73" t="str">
        <x:v>Mock rater record for experiment design; audit against real video outputs before publication.</x:v>
      </x:c>
    </x:row>
    <x:row r="74">
      <x:c r="A74" t="str">
        <x:v>S013-Veo-DIR</x:v>
      </x:c>
      <x:c r="B74" t="str">
        <x:v>S013</x:v>
      </x:c>
      <x:c r="C74" t="str">
        <x:v>Plumbing</x:v>
      </x:c>
      <x:c r="D74" t="str">
        <x:v>caulking</x:v>
      </x:c>
      <x:c r="E74" t="str">
        <x:v>smoothing</x:v>
      </x:c>
      <x:c r="F74" t="n">
        <x:v>2</x:v>
      </x:c>
      <x:c r="G74" t="str">
        <x:v>smooth a bead of silicone caulk along a tub seam</x:v>
      </x:c>
      <x:c r="H74" t="str">
        <x:v>gloved finger</x:v>
      </x:c>
      <x:c r="I74" t="str">
        <x:v>silicone bead, tub seam</x:v>
      </x:c>
      <x:c r="J74" t="str">
        <x:v>Veo 3.1</x:v>
      </x:c>
      <x:c r="K74" t="str">
        <x:v>Direct Natural Language</x:v>
      </x:c>
      <x:c r="L74" t="str">
        <x:v>Baseline wording only; no explicit decomposition.</x:v>
      </x:c>
      <x:c r="M74" t="str">
        <x:v>Close-up realistic instructional DIY video: smooth a bead of silicone caulk along a tub seam. Show gloved finger working on silicone bead, tub seam. Hands visible, stable camera, no text overlay, neutral shop lighting.</x:v>
      </x:c>
      <x:c r="N74" s="14" t="n">
        <x:v>8</x:v>
      </x:c>
      <x:c r="O74" s="14" t="n">
        <x:v>100130</x:v>
      </x:c>
      <x:c r="P74" t="str">
        <x:v>R-D</x:v>
      </x:c>
      <x:c r="Q74" s="12" t="n">
        <x:v>3.87</x:v>
      </x:c>
      <x:c r="R74" s="12" t="n">
        <x:v>4.28</x:v>
      </x:c>
      <x:c r="S74" s="12" t="n">
        <x:v>4.03</x:v>
      </x:c>
      <x:c r="T74" s="12" t="n">
        <x:v>4.09</x:v>
      </x:c>
      <x:c r="U74" s="12" t="n">
        <x:v>3.76</x:v>
      </x:c>
      <x:c r="V74" s="12" t="n">
        <x:v>4.39</x:v>
      </x:c>
      <x:c r="W74" s="12" t="n">
        <x:f>ROUND((Q74*0.24)+(R74*0.22)+(S74*0.16)+(T74*0.18)+(U74*0.10)+(V74*0.10),2)</x:f>
        <x:v>4.07</x:v>
      </x:c>
      <x:c r="X74" t="str">
        <x:f>IF(W74&gt;=3.55,"Pass","Fail")</x:f>
        <x:v>Pass</x:v>
      </x:c>
      <x:c r="Y74" t="str">
        <x:v>none</x:v>
      </x:c>
      <x:c r="Z74" t="str">
        <x:v>Clip review: The intention is clear, especially if you already know the step. A novice might miss the key detail because this issue appears right where the action should be most explicit: none. I marked it down for the key moment rather than the opening setup. For this plumbing example, the main judgment is still whether the viewer can copy the motion.</x:v>
      </x:c>
      <x:c r="AA74" t="str">
        <x:v>Use a reference image for the gloved finger and specify its grip/orientation in plain language.</x:v>
      </x:c>
      <x:c r="AB74" t="str">
        <x:v>Medium</x:v>
      </x:c>
      <x:c r="AC74" t="str"/>
      <x:c r="AD74" t="str">
        <x:v>Synthetic benchmark entry; generated clip URL should be filled after API run.</x:v>
      </x:c>
    </x:row>
    <x:row r="75">
      <x:c r="A75" t="str">
        <x:v>S013-Sora-DIR</x:v>
      </x:c>
      <x:c r="B75" t="str">
        <x:v>S013</x:v>
      </x:c>
      <x:c r="C75" t="str">
        <x:v>Plumbing</x:v>
      </x:c>
      <x:c r="D75" t="str">
        <x:v>caulking</x:v>
      </x:c>
      <x:c r="E75" t="str">
        <x:v>smoothing</x:v>
      </x:c>
      <x:c r="F75" t="n">
        <x:v>2</x:v>
      </x:c>
      <x:c r="G75" t="str">
        <x:v>smooth a bead of silicone caulk along a tub seam</x:v>
      </x:c>
      <x:c r="H75" t="str">
        <x:v>gloved finger</x:v>
      </x:c>
      <x:c r="I75" t="str">
        <x:v>silicone bead, tub seam</x:v>
      </x:c>
      <x:c r="J75" t="str">
        <x:v>Sora 2 Pro</x:v>
      </x:c>
      <x:c r="K75" t="str">
        <x:v>Direct Natural Language</x:v>
      </x:c>
      <x:c r="L75" t="str">
        <x:v>Baseline wording only; no explicit decomposition.</x:v>
      </x:c>
      <x:c r="M75" t="str">
        <x:v>Close-up realistic instructional DIY video: smooth a bead of silicone caulk along a tub seam. Show gloved finger working on silicone bead, tub seam. Hands visible, stable camera, no text overlay, neutral shop lighting.</x:v>
      </x:c>
      <x:c r="N75" s="14" t="n">
        <x:v>8</x:v>
      </x:c>
      <x:c r="O75" s="14" t="n">
        <x:v>100131</x:v>
      </x:c>
      <x:c r="P75" t="str">
        <x:v>R-C</x:v>
      </x:c>
      <x:c r="Q75" s="12" t="n">
        <x:v>4.09</x:v>
      </x:c>
      <x:c r="R75" s="12" t="n">
        <x:v>4.18</x:v>
      </x:c>
      <x:c r="S75" s="12" t="n">
        <x:v>3.97</x:v>
      </x:c>
      <x:c r="T75" s="12" t="n">
        <x:v>4.22</x:v>
      </x:c>
      <x:c r="U75" s="12" t="n">
        <x:v>4.04</x:v>
      </x:c>
      <x:c r="V75" s="12" t="n">
        <x:v>4.07</x:v>
      </x:c>
      <x:c r="W75" s="12" t="n">
        <x:f>ROUND((Q75*0.24)+(R75*0.22)+(S75*0.16)+(T75*0.18)+(U75*0.10)+(V75*0.10),2)</x:f>
        <x:v>4.11</x:v>
      </x:c>
      <x:c r="X75" t="str">
        <x:f>IF(W75&gt;=3.55,"Pass","Fail")</x:f>
        <x:v>Pass</x:v>
      </x:c>
      <x:c r="Y75" t="str">
        <x:v>contact point hidden</x:v>
      </x:c>
      <x:c r="Z75" t="str">
        <x:v>Clip review: The clip has the right ingredients but not quite the right mechanics. It needs a tighter prompt about grip, contact, and the end position. The tool silhouette is acceptable; the mechanics are the weak part. For this plumbing example, the main judgment is still whether the viewer can copy the motion.</x:v>
      </x:c>
      <x:c r="AA75" t="str">
        <x:v>Ask for a static close-up and require the gloved finger to touch the silicone bead, tub seam before any motion starts.</x:v>
      </x:c>
      <x:c r="AB75" t="str">
        <x:v>High</x:v>
      </x:c>
      <x:c r="AC75" t="str"/>
      <x:c r="AD75" t="str">
        <x:v>Mock rater record for experiment design; audit against real video outputs before publication.</x:v>
      </x:c>
    </x:row>
    <x:row r="76">
      <x:c r="A76" t="str">
        <x:v>S013-Runway-DIR</x:v>
      </x:c>
      <x:c r="B76" t="str">
        <x:v>S013</x:v>
      </x:c>
      <x:c r="C76" t="str">
        <x:v>Plumbing</x:v>
      </x:c>
      <x:c r="D76" t="str">
        <x:v>caulking</x:v>
      </x:c>
      <x:c r="E76" t="str">
        <x:v>smoothing</x:v>
      </x:c>
      <x:c r="F76" t="n">
        <x:v>2</x:v>
      </x:c>
      <x:c r="G76" t="str">
        <x:v>smooth a bead of silicone caulk along a tub seam</x:v>
      </x:c>
      <x:c r="H76" t="str">
        <x:v>gloved finger</x:v>
      </x:c>
      <x:c r="I76" t="str">
        <x:v>silicone bead, tub seam</x:v>
      </x:c>
      <x:c r="J76" t="str">
        <x:v>Runway Gen-4.5</x:v>
      </x:c>
      <x:c r="K76" t="str">
        <x:v>Direct Natural Language</x:v>
      </x:c>
      <x:c r="L76" t="str">
        <x:v>Baseline wording only; no explicit decomposition.</x:v>
      </x:c>
      <x:c r="M76" t="str">
        <x:v>Close-up realistic instructional DIY video: smooth a bead of silicone caulk along a tub seam. Show gloved finger working on silicone bead, tub seam. Hands visible, stable camera, no text overlay, neutral shop lighting.</x:v>
      </x:c>
      <x:c r="N76" s="14" t="n">
        <x:v>5</x:v>
      </x:c>
      <x:c r="O76" s="14" t="n">
        <x:v>100132</x:v>
      </x:c>
      <x:c r="P76" t="str">
        <x:v>R-A</x:v>
      </x:c>
      <x:c r="Q76" s="12" t="n">
        <x:v>4.28</x:v>
      </x:c>
      <x:c r="R76" s="12" t="n">
        <x:v>3.54</x:v>
      </x:c>
      <x:c r="S76" s="12" t="n">
        <x:v>3.94</x:v>
      </x:c>
      <x:c r="T76" s="12" t="n">
        <x:v>3.71</x:v>
      </x:c>
      <x:c r="U76" s="12" t="n">
        <x:v>3.51</x:v>
      </x:c>
      <x:c r="V76" s="12" t="n">
        <x:v>3.62</x:v>
      </x:c>
      <x:c r="W76" s="12" t="n">
        <x:f>ROUND((Q76*0.24)+(R76*0.22)+(S76*0.16)+(T76*0.18)+(U76*0.10)+(V76*0.10),2)</x:f>
        <x:v>3.82</x:v>
      </x:c>
      <x:c r="X76" t="str">
        <x:f>IF(W76&gt;=3.55,"Pass","Fail")</x:f>
        <x:v>Pass</x:v>
      </x:c>
      <x:c r="Y76" t="str">
        <x:v>tool pose a little soft</x:v>
      </x:c>
      <x:c r="Z76" t="str">
        <x:v>Review note: Usable, but I would not show it without review. The gloved finger is recognizable, yet the exact contact point is hard to see when the hand crosses the frame. The tool silhouette is acceptable; the mechanics are the weak part. For this plumbing example, the main judgment is still whether the viewer can copy the motion.</x:v>
      </x:c>
      <x:c r="AA76" t="str">
        <x:v>Move safety language earlier in the prompt and remove cinematic camera instructions.</x:v>
      </x:c>
      <x:c r="AB76" t="str">
        <x:v>Medium</x:v>
      </x:c>
      <x:c r="AC76" t="str"/>
      <x:c r="AD76" t="str">
        <x:v>Synthetic benchmark entry; generated clip URL should be filled after API run.</x:v>
      </x:c>
    </x:row>
    <x:row r="77">
      <x:c r="A77" t="str">
        <x:v>S013-Kling-DIR</x:v>
      </x:c>
      <x:c r="B77" t="str">
        <x:v>S013</x:v>
      </x:c>
      <x:c r="C77" t="str">
        <x:v>Plumbing</x:v>
      </x:c>
      <x:c r="D77" t="str">
        <x:v>caulking</x:v>
      </x:c>
      <x:c r="E77" t="str">
        <x:v>smoothing</x:v>
      </x:c>
      <x:c r="F77" t="n">
        <x:v>2</x:v>
      </x:c>
      <x:c r="G77" t="str">
        <x:v>smooth a bead of silicone caulk along a tub seam</x:v>
      </x:c>
      <x:c r="H77" t="str">
        <x:v>gloved finger</x:v>
      </x:c>
      <x:c r="I77" t="str">
        <x:v>silicone bead, tub seam</x:v>
      </x:c>
      <x:c r="J77" t="str">
        <x:v>Kling v3.0 (Replicate)</x:v>
      </x:c>
      <x:c r="K77" t="str">
        <x:v>Direct Natural Language</x:v>
      </x:c>
      <x:c r="L77" t="str">
        <x:v>Baseline wording only; no explicit decomposition.</x:v>
      </x:c>
      <x:c r="M77" t="str">
        <x:v>Close-up realistic instructional DIY video: smooth a bead of silicone caulk along a tub seam. Show gloved finger working on silicone bead, tub seam. Hands visible, stable camera, no text overlay, neutral shop lighting.</x:v>
      </x:c>
      <x:c r="N77" s="14" t="n">
        <x:v>10</x:v>
      </x:c>
      <x:c r="O77" s="14" t="n">
        <x:v>100133</x:v>
      </x:c>
      <x:c r="P77" t="str">
        <x:v>R-C</x:v>
      </x:c>
      <x:c r="Q77" s="12" t="n">
        <x:v>3.87</x:v>
      </x:c>
      <x:c r="R77" s="12" t="n">
        <x:v>4.11</x:v>
      </x:c>
      <x:c r="S77" s="12" t="n">
        <x:v>3.91</x:v>
      </x:c>
      <x:c r="T77" s="12" t="n">
        <x:v>3.35</x:v>
      </x:c>
      <x:c r="U77" s="12" t="n">
        <x:v>4.23</x:v>
      </x:c>
      <x:c r="V77" s="12" t="n">
        <x:v>3.92</x:v>
      </x:c>
      <x:c r="W77" s="12" t="n">
        <x:f>ROUND((Q77*0.24)+(R77*0.22)+(S77*0.16)+(T77*0.18)+(U77*0.10)+(V77*0.10),2)</x:f>
        <x:v>3.88</x:v>
      </x:c>
      <x:c r="X77" t="str">
        <x:f>IF(W77&gt;=3.55,"Pass","Fail")</x:f>
        <x:v>Pass</x:v>
      </x:c>
      <x:c r="Y77" t="str">
        <x:v>minor continuity jump</x:v>
      </x:c>
      <x:c r="Z77" t="str">
        <x:v>Rater note: The intention is clear, especially if you already know the step. A novice might miss the key detail because this issue appears right where the action should be most explicit: minor continuity jump. The clip needs a verifier pass before it can enter the training pool. For this plumbing example, the main judgment is still whether the viewer can copy the motion.</x:v>
      </x:c>
      <x:c r="AA77" t="str">
        <x:v>Break the action into start, contact, movement, and finish; ban extra tools and hand morphing.</x:v>
      </x:c>
      <x:c r="AB77" t="str">
        <x:v>High</x:v>
      </x:c>
      <x:c r="AC77" t="str"/>
      <x:c r="AD77" t="str">
        <x:v>Simulated pilot row for planning; replace with blinded ratings after generating actual clips.</x:v>
      </x:c>
    </x:row>
    <x:row r="78">
      <x:c r="A78" t="str">
        <x:v>S013-Pika-DIR</x:v>
      </x:c>
      <x:c r="B78" t="str">
        <x:v>S013</x:v>
      </x:c>
      <x:c r="C78" t="str">
        <x:v>Plumbing</x:v>
      </x:c>
      <x:c r="D78" t="str">
        <x:v>caulking</x:v>
      </x:c>
      <x:c r="E78" t="str">
        <x:v>smoothing</x:v>
      </x:c>
      <x:c r="F78" t="n">
        <x:v>2</x:v>
      </x:c>
      <x:c r="G78" t="str">
        <x:v>smooth a bead of silicone caulk along a tub seam</x:v>
      </x:c>
      <x:c r="H78" t="str">
        <x:v>gloved finger</x:v>
      </x:c>
      <x:c r="I78" t="str">
        <x:v>silicone bead, tub seam</x:v>
      </x:c>
      <x:c r="J78" t="str">
        <x:v>Pika 2.2</x:v>
      </x:c>
      <x:c r="K78" t="str">
        <x:v>Direct Natural Language</x:v>
      </x:c>
      <x:c r="L78" t="str">
        <x:v>Baseline wording only; no explicit decomposition.</x:v>
      </x:c>
      <x:c r="M78" t="str">
        <x:v>Close-up realistic instructional DIY video: smooth a bead of silicone caulk along a tub seam. Show gloved finger working on silicone bead, tub seam. Hands visible, stable camera, no text overlay, neutral shop lighting.</x:v>
      </x:c>
      <x:c r="N78" s="14" t="n">
        <x:v>5</x:v>
      </x:c>
      <x:c r="O78" s="14" t="n">
        <x:v>100134</x:v>
      </x:c>
      <x:c r="P78" t="str">
        <x:v>R-D</x:v>
      </x:c>
      <x:c r="Q78" s="12" t="n">
        <x:v>3.68</x:v>
      </x:c>
      <x:c r="R78" s="12" t="n">
        <x:v>3.6</x:v>
      </x:c>
      <x:c r="S78" s="12" t="n">
        <x:v>3.53</x:v>
      </x:c>
      <x:c r="T78" s="12" t="n">
        <x:v>3.31</x:v>
      </x:c>
      <x:c r="U78" s="12" t="n">
        <x:v>4.13</x:v>
      </x:c>
      <x:c r="V78" s="12" t="n">
        <x:v>3.96</x:v>
      </x:c>
      <x:c r="W78" s="12" t="n">
        <x:f>ROUND((Q78*0.24)+(R78*0.22)+(S78*0.16)+(T78*0.18)+(U78*0.10)+(V78*0.10),2)</x:f>
        <x:v>3.64</x:v>
      </x:c>
      <x:c r="X78" t="str">
        <x:f>IF(W78&gt;=3.55,"Pass","Fail")</x:f>
        <x:v>Pass</x:v>
      </x:c>
      <x:c r="Y78" t="str">
        <x:v>tool floats near object</x:v>
      </x:c>
      <x:c r="Z78" t="str">
        <x:v>QA note: Usable, but I would not show it without review. The gloved finger is recognizable, yet the exact contact point is hard to see when the hand crosses the frame. The issue is subtle visually, but it matters because the clip is supposed to teach the technique. The baseline prompt is likely under-specifying the tool path.</x:v>
      </x:c>
      <x:c r="AA78" t="str">
        <x:v>Move safety language earlier in the prompt and remove cinematic camera instructions.</x:v>
      </x:c>
      <x:c r="AB78" t="str">
        <x:v>Medium</x:v>
      </x:c>
      <x:c r="AC78" t="str"/>
      <x:c r="AD78" t="str">
        <x:v>Mock rater record for experiment design; audit against real video outputs before publication.</x:v>
      </x:c>
    </x:row>
    <x:row r="79">
      <x:c r="A79" t="str">
        <x:v>S013-Vidu-DIR</x:v>
      </x:c>
      <x:c r="B79" t="str">
        <x:v>S013</x:v>
      </x:c>
      <x:c r="C79" t="str">
        <x:v>Plumbing</x:v>
      </x:c>
      <x:c r="D79" t="str">
        <x:v>caulking</x:v>
      </x:c>
      <x:c r="E79" t="str">
        <x:v>smoothing</x:v>
      </x:c>
      <x:c r="F79" t="n">
        <x:v>2</x:v>
      </x:c>
      <x:c r="G79" t="str">
        <x:v>smooth a bead of silicone caulk along a tub seam</x:v>
      </x:c>
      <x:c r="H79" t="str">
        <x:v>gloved finger</x:v>
      </x:c>
      <x:c r="I79" t="str">
        <x:v>silicone bead, tub seam</x:v>
      </x:c>
      <x:c r="J79" t="str">
        <x:v>Vidu 2.0</x:v>
      </x:c>
      <x:c r="K79" t="str">
        <x:v>Direct Natural Language</x:v>
      </x:c>
      <x:c r="L79" t="str">
        <x:v>Baseline wording only; no explicit decomposition.</x:v>
      </x:c>
      <x:c r="M79" t="str">
        <x:v>Close-up realistic instructional DIY video: smooth a bead of silicone caulk along a tub seam. Show gloved finger working on silicone bead, tub seam. Hands visible, stable camera, no text overlay, neutral shop lighting.</x:v>
      </x:c>
      <x:c r="N79" s="14" t="n">
        <x:v>5</x:v>
      </x:c>
      <x:c r="O79" s="14" t="n">
        <x:v>100135</x:v>
      </x:c>
      <x:c r="P79" t="str">
        <x:v>R-D</x:v>
      </x:c>
      <x:c r="Q79" s="12" t="n">
        <x:v>3.12</x:v>
      </x:c>
      <x:c r="R79" s="12" t="n">
        <x:v>3.08</x:v>
      </x:c>
      <x:c r="S79" s="12" t="n">
        <x:v>2.84</x:v>
      </x:c>
      <x:c r="T79" s="12" t="n">
        <x:v>3.43</x:v>
      </x:c>
      <x:c r="U79" s="12" t="n">
        <x:v>3.44</x:v>
      </x:c>
      <x:c r="V79" s="12" t="n">
        <x:v>3.26</x:v>
      </x:c>
      <x:c r="W79" s="12" t="n">
        <x:f>ROUND((Q79*0.24)+(R79*0.22)+(S79*0.16)+(T79*0.18)+(U79*0.10)+(V79*0.10),2)</x:f>
        <x:v>3.17</x:v>
      </x:c>
      <x:c r="X79" t="str">
        <x:f>IF(W79&gt;=3.55,"Pass","Fail")</x:f>
        <x:v>Fail</x:v>
      </x:c>
      <x:c r="Y79" t="str">
        <x:v>object morphs</x:v>
      </x:c>
      <x:c r="Z79" t="str">
        <x:v>Clip review: A reviewer would likely reject this. It may be visually attractive, but the tool/object relationship breaks during the important moment. The clip needs a verifier pass before it can enter the training pool. The baseline prompt is likely under-specifying the tool path.</x:v>
      </x:c>
      <x:c r="AA79" t="str">
        <x:v>Add a one-sentence end-state requirement: viewer must see the completed smoothing result for one full second.</x:v>
      </x:c>
      <x:c r="AB79" t="str">
        <x:v>High</x:v>
      </x:c>
      <x:c r="AC79" t="str"/>
      <x:c r="AD79" t="str">
        <x:v>Simulated pilot row for planning; replace with blinded ratings after generating actual clips.</x:v>
      </x:c>
    </x:row>
    <x:row r="80">
      <x:c r="A80" t="str">
        <x:v>S014-Veo-STR</x:v>
      </x:c>
      <x:c r="B80" t="str">
        <x:v>S014</x:v>
      </x:c>
      <x:c r="C80" t="str">
        <x:v>Plumbing</x:v>
      </x:c>
      <x:c r="D80" t="str">
        <x:v>drain service</x:v>
      </x:c>
      <x:c r="E80" t="str">
        <x:v>aligning</x:v>
      </x:c>
      <x:c r="F80" t="n">
        <x:v>3</x:v>
      </x:c>
      <x:c r="G80" t="str">
        <x:v>align a pop-up stopper rod with the clevis strap hole</x:v>
      </x:c>
      <x:c r="H80" t="str">
        <x:v>clevis strap</x:v>
      </x:c>
      <x:c r="I80" t="str">
        <x:v>pop-up rod, sink drain linkage</x:v>
      </x:c>
      <x:c r="J80" t="str">
        <x:v>Veo 3.1</x:v>
      </x:c>
      <x:c r="K80" t="str">
        <x:v>Structured Action-Object-Tool</x:v>
      </x:c>
      <x:c r="L80" t="str">
        <x:v>Action, tool, object, grip, contact point, start/end states.</x:v>
      </x:c>
      <x:c r="M80" t="str">
        <x:v>Close-up realistic instructional DIY video: align a pop-up stopper rod with the clevis strap hole. Show clevis strap working on pop-up rod, sink drain linkage. Hands visible, stable camera, no text overlay, neutral shop lighting. Action=aligning; tool=clevis strap; object/material=pop-up rod, sink drain linkage; show tool-to-object contact; start state, motion, and finished state all visible.</x:v>
      </x:c>
      <x:c r="N80" s="14" t="n">
        <x:v>8</x:v>
      </x:c>
      <x:c r="O80" s="14" t="n">
        <x:v>100140</x:v>
      </x:c>
      <x:c r="P80" t="str">
        <x:v>R-C</x:v>
      </x:c>
      <x:c r="Q80" s="12" t="n">
        <x:v>4.53</x:v>
      </x:c>
      <x:c r="R80" s="12" t="n">
        <x:v>4.03</x:v>
      </x:c>
      <x:c r="S80" s="12" t="n">
        <x:v>4.85</x:v>
      </x:c>
      <x:c r="T80" s="12" t="n">
        <x:v>4.5</x:v>
      </x:c>
      <x:c r="U80" s="12" t="n">
        <x:v>4.03</x:v>
      </x:c>
      <x:c r="V80" s="12" t="n">
        <x:v>3.92</x:v>
      </x:c>
      <x:c r="W80" s="12" t="n">
        <x:f>ROUND((Q80*0.24)+(R80*0.22)+(S80*0.16)+(T80*0.18)+(U80*0.10)+(V80*0.10),2)</x:f>
        <x:v>4.35</x:v>
      </x:c>
      <x:c r="X80" t="str">
        <x:f>IF(W80&gt;=3.55,"Pass","Fail")</x:f>
        <x:v>Pass</x:v>
      </x:c>
      <x:c r="Y80" t="str">
        <x:v>none</x:v>
      </x:c>
      <x:c r="Z80" t="str">
        <x:v>QA note: The clip feels like a usable shop-demo take. I can see the hand position and the pop-up rod, sink drain linkage; it just needs a slightly longer hold on the final state. The mistake appears late, so a simple thumbnail review would probably miss it. For this plumbing example, the main judgment is still whether the viewer can copy the motion.</x:v>
      </x:c>
      <x:c r="AA80" t="str">
        <x:v>No immediate re-run; keep as candidate and verify with a second rater.</x:v>
      </x:c>
      <x:c r="AB80" t="str">
        <x:v>High</x:v>
      </x:c>
      <x:c r="AC80" t="str"/>
      <x:c r="AD80" t="str">
        <x:v>Simulated pilot row for planning; replace with blinded ratings after generating actual clips.</x:v>
      </x:c>
    </x:row>
    <x:row r="81">
      <x:c r="A81" t="str">
        <x:v>S014-Sora-STR</x:v>
      </x:c>
      <x:c r="B81" t="str">
        <x:v>S014</x:v>
      </x:c>
      <x:c r="C81" t="str">
        <x:v>Plumbing</x:v>
      </x:c>
      <x:c r="D81" t="str">
        <x:v>drain service</x:v>
      </x:c>
      <x:c r="E81" t="str">
        <x:v>aligning</x:v>
      </x:c>
      <x:c r="F81" t="n">
        <x:v>3</x:v>
      </x:c>
      <x:c r="G81" t="str">
        <x:v>align a pop-up stopper rod with the clevis strap hole</x:v>
      </x:c>
      <x:c r="H81" t="str">
        <x:v>clevis strap</x:v>
      </x:c>
      <x:c r="I81" t="str">
        <x:v>pop-up rod, sink drain linkage</x:v>
      </x:c>
      <x:c r="J81" t="str">
        <x:v>Sora 2 Pro</x:v>
      </x:c>
      <x:c r="K81" t="str">
        <x:v>Structured Action-Object-Tool</x:v>
      </x:c>
      <x:c r="L81" t="str">
        <x:v>Action, tool, object, grip, contact point, start/end states.</x:v>
      </x:c>
      <x:c r="M81" t="str">
        <x:v>Close-up realistic instructional DIY video: align a pop-up stopper rod with the clevis strap hole. Show clevis strap working on pop-up rod, sink drain linkage. Hands visible, stable camera, no text overlay, neutral shop lighting. Action=aligning; tool=clevis strap; object/material=pop-up rod, sink drain linkage; show tool-to-object contact; start state, motion, and finished state all visible.</x:v>
      </x:c>
      <x:c r="N81" s="14" t="n">
        <x:v>8</x:v>
      </x:c>
      <x:c r="O81" s="14" t="n">
        <x:v>100141</x:v>
      </x:c>
      <x:c r="P81" t="str">
        <x:v>R-E</x:v>
      </x:c>
      <x:c r="Q81" s="12" t="n">
        <x:v>4.14</x:v>
      </x:c>
      <x:c r="R81" s="12" t="n">
        <x:v>4.23</x:v>
      </x:c>
      <x:c r="S81" s="12" t="n">
        <x:v>4.14</x:v>
      </x:c>
      <x:c r="T81" s="12" t="n">
        <x:v>3.36</x:v>
      </x:c>
      <x:c r="U81" s="12" t="n">
        <x:v>3.75</x:v>
      </x:c>
      <x:c r="V81" s="12" t="n">
        <x:v>4.47</x:v>
      </x:c>
      <x:c r="W81" s="12" t="n">
        <x:f>ROUND((Q81*0.24)+(R81*0.22)+(S81*0.16)+(T81*0.18)+(U81*0.10)+(V81*0.10),2)</x:f>
        <x:v>4.01</x:v>
      </x:c>
      <x:c r="X81" t="str">
        <x:f>IF(W81&gt;=3.55,"Pass","Fail")</x:f>
        <x:v>Pass</x:v>
      </x:c>
      <x:c r="Y81" t="str">
        <x:v>none</x:v>
      </x:c>
      <x:c r="Z81" t="str">
        <x:v>Clip review: The clip has the right ingredients but not quite the right mechanics. It needs a tighter prompt about grip, contact, and the end position. The next prompt should slow the final second instead of adding more scene detail. For this plumbing example, the main judgment is still whether the viewer can copy the motion.</x:v>
      </x:c>
      <x:c r="AA81" t="str">
        <x:v>Use a reference image for the clevis strap and specify its grip/orientation in plain language.</x:v>
      </x:c>
      <x:c r="AB81" t="str">
        <x:v>Medium-High</x:v>
      </x:c>
      <x:c r="AC81" t="str"/>
      <x:c r="AD81" t="str">
        <x:v>Simulated pilot row for planning; replace with blinded ratings after generating actual clips.</x:v>
      </x:c>
    </x:row>
    <x:row r="82">
      <x:c r="A82" t="str">
        <x:v>S014-Runway-STR</x:v>
      </x:c>
      <x:c r="B82" t="str">
        <x:v>S014</x:v>
      </x:c>
      <x:c r="C82" t="str">
        <x:v>Plumbing</x:v>
      </x:c>
      <x:c r="D82" t="str">
        <x:v>drain service</x:v>
      </x:c>
      <x:c r="E82" t="str">
        <x:v>aligning</x:v>
      </x:c>
      <x:c r="F82" t="n">
        <x:v>3</x:v>
      </x:c>
      <x:c r="G82" t="str">
        <x:v>align a pop-up stopper rod with the clevis strap hole</x:v>
      </x:c>
      <x:c r="H82" t="str">
        <x:v>clevis strap</x:v>
      </x:c>
      <x:c r="I82" t="str">
        <x:v>pop-up rod, sink drain linkage</x:v>
      </x:c>
      <x:c r="J82" t="str">
        <x:v>Runway Gen-4.5</x:v>
      </x:c>
      <x:c r="K82" t="str">
        <x:v>Structured Action-Object-Tool</x:v>
      </x:c>
      <x:c r="L82" t="str">
        <x:v>Action, tool, object, grip, contact point, start/end states.</x:v>
      </x:c>
      <x:c r="M82" t="str">
        <x:v>Close-up realistic instructional DIY video: align a pop-up stopper rod with the clevis strap hole. Show clevis strap working on pop-up rod, sink drain linkage. Hands visible, stable camera, no text overlay, neutral shop lighting. Action=aligning; tool=clevis strap; object/material=pop-up rod, sink drain linkage; show tool-to-object contact; start state, motion, and finished state all visible.</x:v>
      </x:c>
      <x:c r="N82" s="14" t="n">
        <x:v>5</x:v>
      </x:c>
      <x:c r="O82" s="14" t="n">
        <x:v>100142</x:v>
      </x:c>
      <x:c r="P82" t="str">
        <x:v>R-C</x:v>
      </x:c>
      <x:c r="Q82" s="12" t="n">
        <x:v>4.5</x:v>
      </x:c>
      <x:c r="R82" s="12" t="n">
        <x:v>4.37</x:v>
      </x:c>
      <x:c r="S82" s="12" t="n">
        <x:v>3.44</x:v>
      </x:c>
      <x:c r="T82" s="12" t="n">
        <x:v>3.97</x:v>
      </x:c>
      <x:c r="U82" s="12" t="n">
        <x:v>4.24</x:v>
      </x:c>
      <x:c r="V82" s="12" t="n">
        <x:v>4.02</x:v>
      </x:c>
      <x:c r="W82" s="12" t="n">
        <x:f>ROUND((Q82*0.24)+(R82*0.22)+(S82*0.16)+(T82*0.18)+(U82*0.10)+(V82*0.10),2)</x:f>
        <x:v>4.13</x:v>
      </x:c>
      <x:c r="X82" t="str">
        <x:f>IF(W82&gt;=3.55,"Pass","Fail")</x:f>
        <x:v>Pass</x:v>
      </x:c>
      <x:c r="Y82" t="str">
        <x:v>contact point hidden</x:v>
      </x:c>
      <x:c r="Z82" t="str">
        <x:v>QA note: Usable, but I would not show it without review. The clevis strap is recognizable, yet the exact contact point is hard to see when the hand crosses the frame. This would be safer as a reference-aided run than a text-only run. For this plumbing example, the main judgment is still whether the viewer can copy the motion.</x:v>
      </x:c>
      <x:c r="AA82" t="str">
        <x:v>Use sequential context only for continuity, not for adding previous/next steps into the frame.</x:v>
      </x:c>
      <x:c r="AB82" t="str">
        <x:v>Medium</x:v>
      </x:c>
      <x:c r="AC82" t="str"/>
      <x:c r="AD82" t="str">
        <x:v>Simulated pilot row for planning; replace with blinded ratings after generating actual clips.</x:v>
      </x:c>
    </x:row>
    <x:row r="83">
      <x:c r="A83" t="str">
        <x:v>S014-Kling-STR</x:v>
      </x:c>
      <x:c r="B83" t="str">
        <x:v>S014</x:v>
      </x:c>
      <x:c r="C83" t="str">
        <x:v>Plumbing</x:v>
      </x:c>
      <x:c r="D83" t="str">
        <x:v>drain service</x:v>
      </x:c>
      <x:c r="E83" t="str">
        <x:v>aligning</x:v>
      </x:c>
      <x:c r="F83" t="n">
        <x:v>3</x:v>
      </x:c>
      <x:c r="G83" t="str">
        <x:v>align a pop-up stopper rod with the clevis strap hole</x:v>
      </x:c>
      <x:c r="H83" t="str">
        <x:v>clevis strap</x:v>
      </x:c>
      <x:c r="I83" t="str">
        <x:v>pop-up rod, sink drain linkage</x:v>
      </x:c>
      <x:c r="J83" t="str">
        <x:v>Kling v3.0 (Replicate)</x:v>
      </x:c>
      <x:c r="K83" t="str">
        <x:v>Structured Action-Object-Tool</x:v>
      </x:c>
      <x:c r="L83" t="str">
        <x:v>Action, tool, object, grip, contact point, start/end states.</x:v>
      </x:c>
      <x:c r="M83" t="str">
        <x:v>Close-up realistic instructional DIY video: align a pop-up stopper rod with the clevis strap hole. Show clevis strap working on pop-up rod, sink drain linkage. Hands visible, stable camera, no text overlay, neutral shop lighting. Action=aligning; tool=clevis strap; object/material=pop-up rod, sink drain linkage; show tool-to-object contact; start state, motion, and finished state all visible.</x:v>
      </x:c>
      <x:c r="N83" s="14" t="n">
        <x:v>10</x:v>
      </x:c>
      <x:c r="O83" s="14" t="n">
        <x:v>100143</x:v>
      </x:c>
      <x:c r="P83" t="str">
        <x:v>R-B</x:v>
      </x:c>
      <x:c r="Q83" s="12" t="n">
        <x:v>4.2</x:v>
      </x:c>
      <x:c r="R83" s="12" t="n">
        <x:v>3.88</x:v>
      </x:c>
      <x:c r="S83" s="12" t="n">
        <x:v>4.11</x:v>
      </x:c>
      <x:c r="T83" s="12" t="n">
        <x:v>3.52</x:v>
      </x:c>
      <x:c r="U83" s="12" t="n">
        <x:v>3.59</x:v>
      </x:c>
      <x:c r="V83" s="12" t="n">
        <x:v>3.24</x:v>
      </x:c>
      <x:c r="W83" s="12" t="n">
        <x:f>ROUND((Q83*0.24)+(R83*0.22)+(S83*0.16)+(T83*0.18)+(U83*0.10)+(V83*0.10),2)</x:f>
        <x:v>3.84</x:v>
      </x:c>
      <x:c r="X83" t="str">
        <x:f>IF(W83&gt;=3.55,"Pass","Fail")</x:f>
        <x:v>Pass</x:v>
      </x:c>
      <x:c r="Y83" t="str">
        <x:v>none</x:v>
      </x:c>
      <x:c r="Z83" t="str">
        <x:v>Clip review: The clip has the right ingredients but not quite the right mechanics. It needs a tighter prompt about grip, contact, and the end position. The issue is subtle visually, but it matters because the clip is supposed to teach the technique. For this plumbing example, the main judgment is still whether the viewer can copy the motion.</x:v>
      </x:c>
      <x:c r="AA83" t="str">
        <x:v>Add a one-sentence end-state requirement: viewer must see the completed aligning result for one full second.</x:v>
      </x:c>
      <x:c r="AB83" t="str">
        <x:v>Medium-High</x:v>
      </x:c>
      <x:c r="AC83" t="str"/>
      <x:c r="AD83" t="str">
        <x:v>Mock rater record for experiment design; audit against real video outputs before publication.</x:v>
      </x:c>
    </x:row>
    <x:row r="84">
      <x:c r="A84" t="str">
        <x:v>S014-Pika-STR</x:v>
      </x:c>
      <x:c r="B84" t="str">
        <x:v>S014</x:v>
      </x:c>
      <x:c r="C84" t="str">
        <x:v>Plumbing</x:v>
      </x:c>
      <x:c r="D84" t="str">
        <x:v>drain service</x:v>
      </x:c>
      <x:c r="E84" t="str">
        <x:v>aligning</x:v>
      </x:c>
      <x:c r="F84" t="n">
        <x:v>3</x:v>
      </x:c>
      <x:c r="G84" t="str">
        <x:v>align a pop-up stopper rod with the clevis strap hole</x:v>
      </x:c>
      <x:c r="H84" t="str">
        <x:v>clevis strap</x:v>
      </x:c>
      <x:c r="I84" t="str">
        <x:v>pop-up rod, sink drain linkage</x:v>
      </x:c>
      <x:c r="J84" t="str">
        <x:v>Pika 2.2</x:v>
      </x:c>
      <x:c r="K84" t="str">
        <x:v>Structured Action-Object-Tool</x:v>
      </x:c>
      <x:c r="L84" t="str">
        <x:v>Action, tool, object, grip, contact point, start/end states.</x:v>
      </x:c>
      <x:c r="M84" t="str">
        <x:v>Close-up realistic instructional DIY video: align a pop-up stopper rod with the clevis strap hole. Show clevis strap working on pop-up rod, sink drain linkage. Hands visible, stable camera, no text overlay, neutral shop lighting. Action=aligning; tool=clevis strap; object/material=pop-up rod, sink drain linkage; show tool-to-object contact; start state, motion, and finished state all visible.</x:v>
      </x:c>
      <x:c r="N84" s="14" t="n">
        <x:v>5</x:v>
      </x:c>
      <x:c r="O84" s="14" t="n">
        <x:v>100144</x:v>
      </x:c>
      <x:c r="P84" t="str">
        <x:v>R-A</x:v>
      </x:c>
      <x:c r="Q84" s="12" t="n">
        <x:v>3.56</x:v>
      </x:c>
      <x:c r="R84" s="12" t="n">
        <x:v>3.26</x:v>
      </x:c>
      <x:c r="S84" s="12" t="n">
        <x:v>3.38</x:v>
      </x:c>
      <x:c r="T84" s="12" t="n">
        <x:v>2.86</x:v>
      </x:c>
      <x:c r="U84" s="12" t="n">
        <x:v>3.19</x:v>
      </x:c>
      <x:c r="V84" s="12" t="n">
        <x:v>3.53</x:v>
      </x:c>
      <x:c r="W84" s="12" t="n">
        <x:f>ROUND((Q84*0.24)+(R84*0.22)+(S84*0.16)+(T84*0.18)+(U84*0.10)+(V84*0.10),2)</x:f>
        <x:v>3.3</x:v>
      </x:c>
      <x:c r="X84" t="str">
        <x:f>IF(W84&gt;=3.55,"Pass","Fail")</x:f>
        <x:v>Fail</x:v>
      </x:c>
      <x:c r="Y84" t="str">
        <x:v>action starts too late</x:v>
      </x:c>
      <x:c r="Z84" t="str">
        <x:v>Review note: Too much is being implied. The clevis strap and pop-up rod, sink drain linkage are in the scene, but the motion does not demonstrate the actual repair step. The issue is subtle visually, but it matters because the clip is supposed to teach the technique. For this plumbing example, the main judgment is still whether the viewer can copy the motion.</x:v>
      </x:c>
      <x:c r="AA84" t="str">
        <x:v>Specify the exact contact point and do not allow the hand to cover it.</x:v>
      </x:c>
      <x:c r="AB84" t="str">
        <x:v>Low</x:v>
      </x:c>
      <x:c r="AC84" t="str"/>
      <x:c r="AD84" t="str">
        <x:v>Planning dataset only; scores are plausible placeholders, not vendor claims.</x:v>
      </x:c>
    </x:row>
    <x:row r="85">
      <x:c r="A85" t="str">
        <x:v>S014-Vidu-STR</x:v>
      </x:c>
      <x:c r="B85" t="str">
        <x:v>S014</x:v>
      </x:c>
      <x:c r="C85" t="str">
        <x:v>Plumbing</x:v>
      </x:c>
      <x:c r="D85" t="str">
        <x:v>drain service</x:v>
      </x:c>
      <x:c r="E85" t="str">
        <x:v>aligning</x:v>
      </x:c>
      <x:c r="F85" t="n">
        <x:v>3</x:v>
      </x:c>
      <x:c r="G85" t="str">
        <x:v>align a pop-up stopper rod with the clevis strap hole</x:v>
      </x:c>
      <x:c r="H85" t="str">
        <x:v>clevis strap</x:v>
      </x:c>
      <x:c r="I85" t="str">
        <x:v>pop-up rod, sink drain linkage</x:v>
      </x:c>
      <x:c r="J85" t="str">
        <x:v>Vidu 2.0</x:v>
      </x:c>
      <x:c r="K85" t="str">
        <x:v>Structured Action-Object-Tool</x:v>
      </x:c>
      <x:c r="L85" t="str">
        <x:v>Action, tool, object, grip, contact point, start/end states.</x:v>
      </x:c>
      <x:c r="M85" t="str">
        <x:v>Close-up realistic instructional DIY video: align a pop-up stopper rod with the clevis strap hole. Show clevis strap working on pop-up rod, sink drain linkage. Hands visible, stable camera, no text overlay, neutral shop lighting. Action=aligning; tool=clevis strap; object/material=pop-up rod, sink drain linkage; show tool-to-object contact; start state, motion, and finished state all visible.</x:v>
      </x:c>
      <x:c r="N85" s="14" t="n">
        <x:v>5</x:v>
      </x:c>
      <x:c r="O85" s="14" t="n">
        <x:v>100145</x:v>
      </x:c>
      <x:c r="P85" t="str">
        <x:v>R-D</x:v>
      </x:c>
      <x:c r="Q85" s="12" t="n">
        <x:v>3.73</x:v>
      </x:c>
      <x:c r="R85" s="12" t="n">
        <x:v>3.04</x:v>
      </x:c>
      <x:c r="S85" s="12" t="n">
        <x:v>3.58</x:v>
      </x:c>
      <x:c r="T85" s="12" t="n">
        <x:v>3.51</x:v>
      </x:c>
      <x:c r="U85" s="12" t="n">
        <x:v>3.52</x:v>
      </x:c>
      <x:c r="V85" s="12" t="n">
        <x:v>3.54</x:v>
      </x:c>
      <x:c r="W85" s="12" t="n">
        <x:f>ROUND((Q85*0.24)+(R85*0.22)+(S85*0.16)+(T85*0.18)+(U85*0.10)+(V85*0.10),2)</x:f>
        <x:v>3.47</x:v>
      </x:c>
      <x:c r="X85" t="str">
        <x:f>IF(W85&gt;=3.55,"Pass","Fail")</x:f>
        <x:v>Fail</x:v>
      </x:c>
      <x:c r="Y85" t="str">
        <x:v>action starts too late</x:v>
      </x:c>
      <x:c r="Z85" t="str">
        <x:v>Rater note: This should fail the instructional bar. The model gestures toward the task, but the failure mode prevents a learner from trusting the technique: action starts too late. On a small preview it might pass, but full-screen review exposes the issue. For this plumbing example, the main judgment is still whether the viewer can copy the motion.</x:v>
      </x:c>
      <x:c r="AA85" t="str">
        <x:v>Move safety language earlier in the prompt and remove cinematic camera instructions.</x:v>
      </x:c>
      <x:c r="AB85" t="str">
        <x:v>Medium-High</x:v>
      </x:c>
      <x:c r="AC85" t="str"/>
      <x:c r="AD85" t="str">
        <x:v>Simulated pilot row for planning; replace with blinded ratings after generating actual clips.</x:v>
      </x:c>
    </x:row>
    <x:row r="86">
      <x:c r="A86" t="str">
        <x:v>S015-Veo-MET</x:v>
      </x:c>
      <x:c r="B86" t="str">
        <x:v>S015</x:v>
      </x:c>
      <x:c r="C86" t="str">
        <x:v>Plumbing</x:v>
      </x:c>
      <x:c r="D86" t="str">
        <x:v>hose repair</x:v>
      </x:c>
      <x:c r="E86" t="str">
        <x:v>replacing</x:v>
      </x:c>
      <x:c r="F86" t="n">
        <x:v>2</x:v>
      </x:c>
      <x:c r="G86" t="str">
        <x:v>replace a rubber washer inside a garden hose coupling</x:v>
      </x:c>
      <x:c r="H86" t="str">
        <x:v>flathead screwdriver</x:v>
      </x:c>
      <x:c r="I86" t="str">
        <x:v>garden hose coupling, washer</x:v>
      </x:c>
      <x:c r="J86" t="str">
        <x:v>Veo 3.1</x:v>
      </x:c>
      <x:c r="K86" t="str">
        <x:v>Metadata-Enriched</x:v>
      </x:c>
      <x:c r="L86" t="str">
        <x:v>Uses clipDescription, clipSummary, toolNames, suppliesNames, processTechniques, safetyEquipment.</x:v>
      </x:c>
      <x:c r="M86" t="str">
        <x:v>Close-up realistic instructional DIY video: replace a rubber washer inside a garden hose coupling. Show flathead screwdriver working on garden hose coupling, washer. Hands visible, stable camera, no text overlay, neutral shop lighting. clipDescription='replace a rubber washer inside a garden hose coupling'. clipSummary='one practical repair step'. toolNames='flathead screwdriver'. suppliesNames='garden hose coupling, washer'. processTechnique='replacing'. Safety cue: use normal homeowner precautions and avoid risky shortcuts.</x:v>
      </x:c>
      <x:c r="N86" s="14" t="n">
        <x:v>8</x:v>
      </x:c>
      <x:c r="O86" s="14" t="n">
        <x:v>100150</x:v>
      </x:c>
      <x:c r="P86" t="str">
        <x:v>R-D</x:v>
      </x:c>
      <x:c r="Q86" s="12" t="n">
        <x:v>4.23</x:v>
      </x:c>
      <x:c r="R86" s="12" t="n">
        <x:v>4.94</x:v>
      </x:c>
      <x:c r="S86" s="12" t="n">
        <x:v>4.04</x:v>
      </x:c>
      <x:c r="T86" s="12" t="n">
        <x:v>3.78</x:v>
      </x:c>
      <x:c r="U86" s="12" t="n">
        <x:v>4.42</x:v>
      </x:c>
      <x:c r="V86" s="12" t="n">
        <x:v>4.21</x:v>
      </x:c>
      <x:c r="W86" s="12" t="n">
        <x:f>ROUND((Q86*0.24)+(R86*0.22)+(S86*0.16)+(T86*0.18)+(U86*0.10)+(V86*0.10),2)</x:f>
        <x:v>4.29</x:v>
      </x:c>
      <x:c r="X86" t="str">
        <x:f>IF(W86&gt;=3.55,"Pass","Fail")</x:f>
        <x:v>Pass</x:v>
      </x:c>
      <x:c r="Y86" t="str">
        <x:v>none</x:v>
      </x:c>
      <x:c r="Z86" t="str">
        <x:v>Human check: Best part is the pacing: it gives enough time to understand replacing without turning into a beauty shot. Minor issue: slightly staged tool contact. The most important fix is to show the before-and-after state without a cut. For this plumbing example, the main judgment is still whether the viewer can copy the motion.</x:v>
      </x:c>
      <x:c r="AA86" t="str">
        <x:v>No immediate re-run; keep as candidate and verify with a second rater.</x:v>
      </x:c>
      <x:c r="AB86" t="str">
        <x:v>Medium</x:v>
      </x:c>
      <x:c r="AC86" t="str"/>
      <x:c r="AD86" t="str">
        <x:v>Simulated pilot row for planning; replace with blinded ratings after generating actual clips.</x:v>
      </x:c>
    </x:row>
    <x:row r="87">
      <x:c r="A87" t="str">
        <x:v>S015-Sora-MET</x:v>
      </x:c>
      <x:c r="B87" t="str">
        <x:v>S015</x:v>
      </x:c>
      <x:c r="C87" t="str">
        <x:v>Plumbing</x:v>
      </x:c>
      <x:c r="D87" t="str">
        <x:v>hose repair</x:v>
      </x:c>
      <x:c r="E87" t="str">
        <x:v>replacing</x:v>
      </x:c>
      <x:c r="F87" t="n">
        <x:v>2</x:v>
      </x:c>
      <x:c r="G87" t="str">
        <x:v>replace a rubber washer inside a garden hose coupling</x:v>
      </x:c>
      <x:c r="H87" t="str">
        <x:v>flathead screwdriver</x:v>
      </x:c>
      <x:c r="I87" t="str">
        <x:v>garden hose coupling, washer</x:v>
      </x:c>
      <x:c r="J87" t="str">
        <x:v>Sora 2 Pro</x:v>
      </x:c>
      <x:c r="K87" t="str">
        <x:v>Metadata-Enriched</x:v>
      </x:c>
      <x:c r="L87" t="str">
        <x:v>Uses clipDescription, clipSummary, toolNames, suppliesNames, processTechniques, safetyEquipment.</x:v>
      </x:c>
      <x:c r="M87" t="str">
        <x:v>Close-up realistic instructional DIY video: replace a rubber washer inside a garden hose coupling. Show flathead screwdriver working on garden hose coupling, washer. Hands visible, stable camera, no text overlay, neutral shop lighting. clipDescription='replace a rubber washer inside a garden hose coupling'. clipSummary='one practical repair step'. toolNames='flathead screwdriver'. suppliesNames='garden hose coupling, washer'. processTechnique='replacing'. Safety cue: use normal homeowner precautions and avoid risky shortcuts.</x:v>
      </x:c>
      <x:c r="N87" s="14" t="n">
        <x:v>8</x:v>
      </x:c>
      <x:c r="O87" s="14" t="n">
        <x:v>100151</x:v>
      </x:c>
      <x:c r="P87" t="str">
        <x:v>R-A</x:v>
      </x:c>
      <x:c r="Q87" s="12" t="n">
        <x:v>4.02</x:v>
      </x:c>
      <x:c r="R87" s="12" t="n">
        <x:v>4.33</x:v>
      </x:c>
      <x:c r="S87" s="12" t="n">
        <x:v>4.45</x:v>
      </x:c>
      <x:c r="T87" s="12" t="n">
        <x:v>4.64</x:v>
      </x:c>
      <x:c r="U87" s="12" t="n">
        <x:v>4.1</x:v>
      </x:c>
      <x:c r="V87" s="12" t="n">
        <x:v>4.19</x:v>
      </x:c>
      <x:c r="W87" s="12" t="n">
        <x:f>ROUND((Q87*0.24)+(R87*0.22)+(S87*0.16)+(T87*0.18)+(U87*0.10)+(V87*0.10),2)</x:f>
        <x:v>4.29</x:v>
      </x:c>
      <x:c r="X87" t="str">
        <x:f>IF(W87&gt;=3.55,"Pass","Fail")</x:f>
        <x:v>Pass</x:v>
      </x:c>
      <x:c r="Y87" t="str">
        <x:v>endpoint not visible</x:v>
      </x:c>
      <x:c r="Z87" t="str">
        <x:v>QA note: The clip feels like a usable shop-demo take. I can see the hand position and the garden hose coupling, washer; it just needs a slightly longer hold on the final state. I would keep the same camera angle but ask for a tighter view of the contact point. For this plumbing example, the main judgment is still whether the viewer can copy the motion.</x:v>
      </x:c>
      <x:c r="AA87" t="str">
        <x:v>Break the action into start, contact, movement, and finish; ban extra tools and hand morphing.</x:v>
      </x:c>
      <x:c r="AB87" t="str">
        <x:v>Medium-High</x:v>
      </x:c>
      <x:c r="AC87" t="str"/>
      <x:c r="AD87" t="str">
        <x:v>Synthetic benchmark entry; generated clip URL should be filled after API run.</x:v>
      </x:c>
    </x:row>
    <x:row r="88">
      <x:c r="A88" t="str">
        <x:v>S015-Runway-MET</x:v>
      </x:c>
      <x:c r="B88" t="str">
        <x:v>S015</x:v>
      </x:c>
      <x:c r="C88" t="str">
        <x:v>Plumbing</x:v>
      </x:c>
      <x:c r="D88" t="str">
        <x:v>hose repair</x:v>
      </x:c>
      <x:c r="E88" t="str">
        <x:v>replacing</x:v>
      </x:c>
      <x:c r="F88" t="n">
        <x:v>2</x:v>
      </x:c>
      <x:c r="G88" t="str">
        <x:v>replace a rubber washer inside a garden hose coupling</x:v>
      </x:c>
      <x:c r="H88" t="str">
        <x:v>flathead screwdriver</x:v>
      </x:c>
      <x:c r="I88" t="str">
        <x:v>garden hose coupling, washer</x:v>
      </x:c>
      <x:c r="J88" t="str">
        <x:v>Runway Gen-4.5</x:v>
      </x:c>
      <x:c r="K88" t="str">
        <x:v>Metadata-Enriched</x:v>
      </x:c>
      <x:c r="L88" t="str">
        <x:v>Uses clipDescription, clipSummary, toolNames, suppliesNames, processTechniques, safetyEquipment.</x:v>
      </x:c>
      <x:c r="M88" t="str">
        <x:v>Close-up realistic instructional DIY video: replace a rubber washer inside a garden hose coupling. Show flathead screwdriver working on garden hose coupling, washer. Hands visible, stable camera, no text overlay, neutral shop lighting. clipDescription='replace a rubber washer inside a garden hose coupling'. clipSummary='one practical repair step'. toolNames='flathead screwdriver'. suppliesNames='garden hose coupling, washer'. processTechnique='replacing'. Safety cue: use normal homeowner precautions and avoid risky shortcuts.</x:v>
      </x:c>
      <x:c r="N88" s="14" t="n">
        <x:v>5</x:v>
      </x:c>
      <x:c r="O88" s="14" t="n">
        <x:v>100152</x:v>
      </x:c>
      <x:c r="P88" t="str">
        <x:v>R-D</x:v>
      </x:c>
      <x:c r="Q88" s="12" t="n">
        <x:v>4.22</x:v>
      </x:c>
      <x:c r="R88" s="12" t="n">
        <x:v>3.8</x:v>
      </x:c>
      <x:c r="S88" s="12" t="n">
        <x:v>3.92</x:v>
      </x:c>
      <x:c r="T88" s="12" t="n">
        <x:v>3.89</x:v>
      </x:c>
      <x:c r="U88" s="12" t="n">
        <x:v>4.17</x:v>
      </x:c>
      <x:c r="V88" s="12" t="n">
        <x:v>3.88</x:v>
      </x:c>
      <x:c r="W88" s="12" t="n">
        <x:f>ROUND((Q88*0.24)+(R88*0.22)+(S88*0.16)+(T88*0.18)+(U88*0.10)+(V88*0.10),2)</x:f>
        <x:v>3.98</x:v>
      </x:c>
      <x:c r="X88" t="str">
        <x:f>IF(W88&gt;=3.55,"Pass","Fail")</x:f>
        <x:v>Pass</x:v>
      </x:c>
      <x:c r="Y88" t="str">
        <x:v>none</x:v>
      </x:c>
      <x:c r="Z88" t="str">
        <x:v>QA note: Usable, but I would not show it without review. The flathead screwdriver is recognizable, yet the exact contact point is hard to see when the hand crosses the frame. The most important fix is to show the before-and-after state without a cut. For this plumbing example, the main judgment is still whether the viewer can copy the motion.</x:v>
      </x:c>
      <x:c r="AA88" t="str">
        <x:v>Use a reference image for the flathead screwdriver and specify its grip/orientation in plain language.</x:v>
      </x:c>
      <x:c r="AB88" t="str">
        <x:v>Medium-High</x:v>
      </x:c>
      <x:c r="AC88" t="str"/>
      <x:c r="AD88" t="str">
        <x:v>Mock rater record for experiment design; audit against real video outputs before publication.</x:v>
      </x:c>
    </x:row>
    <x:row r="89">
      <x:c r="A89" t="str">
        <x:v>S015-Kling-MET</x:v>
      </x:c>
      <x:c r="B89" t="str">
        <x:v>S015</x:v>
      </x:c>
      <x:c r="C89" t="str">
        <x:v>Plumbing</x:v>
      </x:c>
      <x:c r="D89" t="str">
        <x:v>hose repair</x:v>
      </x:c>
      <x:c r="E89" t="str">
        <x:v>replacing</x:v>
      </x:c>
      <x:c r="F89" t="n">
        <x:v>2</x:v>
      </x:c>
      <x:c r="G89" t="str">
        <x:v>replace a rubber washer inside a garden hose coupling</x:v>
      </x:c>
      <x:c r="H89" t="str">
        <x:v>flathead screwdriver</x:v>
      </x:c>
      <x:c r="I89" t="str">
        <x:v>garden hose coupling, washer</x:v>
      </x:c>
      <x:c r="J89" t="str">
        <x:v>Kling v3.0 (Replicate)</x:v>
      </x:c>
      <x:c r="K89" t="str">
        <x:v>Metadata-Enriched</x:v>
      </x:c>
      <x:c r="L89" t="str">
        <x:v>Uses clipDescription, clipSummary, toolNames, suppliesNames, processTechniques, safetyEquipment.</x:v>
      </x:c>
      <x:c r="M89" t="str">
        <x:v>Close-up realistic instructional DIY video: replace a rubber washer inside a garden hose coupling. Show flathead screwdriver working on garden hose coupling, washer. Hands visible, stable camera, no text overlay, neutral shop lighting. clipDescription='replace a rubber washer inside a garden hose coupling'. clipSummary='one practical repair step'. toolNames='flathead screwdriver'. suppliesNames='garden hose coupling, washer'. processTechnique='replacing'. Safety cue: use normal homeowner precautions and avoid risky shortcuts.</x:v>
      </x:c>
      <x:c r="N89" s="14" t="n">
        <x:v>10</x:v>
      </x:c>
      <x:c r="O89" s="14" t="n">
        <x:v>100153</x:v>
      </x:c>
      <x:c r="P89" t="str">
        <x:v>R-E</x:v>
      </x:c>
      <x:c r="Q89" s="12" t="n">
        <x:v>3.75</x:v>
      </x:c>
      <x:c r="R89" s="12" t="n">
        <x:v>3.99</x:v>
      </x:c>
      <x:c r="S89" s="12" t="n">
        <x:v>3.91</x:v>
      </x:c>
      <x:c r="T89" s="12" t="n">
        <x:v>4.27</x:v>
      </x:c>
      <x:c r="U89" s="12" t="n">
        <x:v>3.92</x:v>
      </x:c>
      <x:c r="V89" s="12" t="n">
        <x:v>3.81</x:v>
      </x:c>
      <x:c r="W89" s="12" t="n">
        <x:f>ROUND((Q89*0.24)+(R89*0.22)+(S89*0.16)+(T89*0.18)+(U89*0.10)+(V89*0.10),2)</x:f>
        <x:v>3.94</x:v>
      </x:c>
      <x:c r="X89" t="str">
        <x:f>IF(W89&gt;=3.55,"Pass","Fail")</x:f>
        <x:v>Pass</x:v>
      </x:c>
      <x:c r="Y89" t="str">
        <x:v>minor continuity jump</x:v>
      </x:c>
      <x:c r="Z89" t="str">
        <x:v>Rater note: I would keep this as a rough candidate. It communicates the step, although the failure mode makes it weaker than a real sourced clip: minor continuity jump. This reads better as a teaser than as an instructional clip. For this plumbing example, the main judgment is still whether the viewer can copy the motion.</x:v>
      </x:c>
      <x:c r="AA89" t="str">
        <x:v>Use sequential context only for continuity, not for adding previous/next steps into the frame.</x:v>
      </x:c>
      <x:c r="AB89" t="str">
        <x:v>High</x:v>
      </x:c>
      <x:c r="AC89" t="str"/>
      <x:c r="AD89" t="str">
        <x:v>Synthetic benchmark entry; generated clip URL should be filled after API run.</x:v>
      </x:c>
    </x:row>
    <x:row r="90">
      <x:c r="A90" t="str">
        <x:v>S015-Pika-MET</x:v>
      </x:c>
      <x:c r="B90" t="str">
        <x:v>S015</x:v>
      </x:c>
      <x:c r="C90" t="str">
        <x:v>Plumbing</x:v>
      </x:c>
      <x:c r="D90" t="str">
        <x:v>hose repair</x:v>
      </x:c>
      <x:c r="E90" t="str">
        <x:v>replacing</x:v>
      </x:c>
      <x:c r="F90" t="n">
        <x:v>2</x:v>
      </x:c>
      <x:c r="G90" t="str">
        <x:v>replace a rubber washer inside a garden hose coupling</x:v>
      </x:c>
      <x:c r="H90" t="str">
        <x:v>flathead screwdriver</x:v>
      </x:c>
      <x:c r="I90" t="str">
        <x:v>garden hose coupling, washer</x:v>
      </x:c>
      <x:c r="J90" t="str">
        <x:v>Pika 2.2</x:v>
      </x:c>
      <x:c r="K90" t="str">
        <x:v>Metadata-Enriched</x:v>
      </x:c>
      <x:c r="L90" t="str">
        <x:v>Uses clipDescription, clipSummary, toolNames, suppliesNames, processTechniques, safetyEquipment.</x:v>
      </x:c>
      <x:c r="M90" t="str">
        <x:v>Close-up realistic instructional DIY video: replace a rubber washer inside a garden hose coupling. Show flathead screwdriver working on garden hose coupling, washer. Hands visible, stable camera, no text overlay, neutral shop lighting. clipDescription='replace a rubber washer inside a garden hose coupling'. clipSummary='one practical repair step'. toolNames='flathead screwdriver'. suppliesNames='garden hose coupling, washer'. processTechnique='replacing'. Safety cue: use normal homeowner precautions and avoid risky shortcuts.</x:v>
      </x:c>
      <x:c r="N90" s="14" t="n">
        <x:v>5</x:v>
      </x:c>
      <x:c r="O90" s="14" t="n">
        <x:v>100154</x:v>
      </x:c>
      <x:c r="P90" t="str">
        <x:v>R-E</x:v>
      </x:c>
      <x:c r="Q90" s="12" t="n">
        <x:v>3.61</x:v>
      </x:c>
      <x:c r="R90" s="12" t="n">
        <x:v>4.03</x:v>
      </x:c>
      <x:c r="S90" s="12" t="n">
        <x:v>3.7</x:v>
      </x:c>
      <x:c r="T90" s="12" t="n">
        <x:v>3.88</x:v>
      </x:c>
      <x:c r="U90" s="12" t="n">
        <x:v>3.47</x:v>
      </x:c>
      <x:c r="V90" s="12" t="n">
        <x:v>3.17</x:v>
      </x:c>
      <x:c r="W90" s="12" t="n">
        <x:f>ROUND((Q90*0.24)+(R90*0.22)+(S90*0.16)+(T90*0.18)+(U90*0.10)+(V90*0.10),2)</x:f>
        <x:v>3.71</x:v>
      </x:c>
      <x:c r="X90" t="str">
        <x:f>IF(W90&gt;=3.55,"Pass","Fail")</x:f>
        <x:v>Pass</x:v>
      </x:c>
      <x:c r="Y90" t="str">
        <x:v>object morphs</x:v>
      </x:c>
      <x:c r="Z90" t="str">
        <x:v>Human check: Looks plausible at first glance. On a second pass, the garden hose coupling, washer shifts slightly and the model seems to infer the outcome rather than show the full replacing. I marked it down for the key moment rather than the opening setup. For this plumbing example, the main judgment is still whether the viewer can copy the motion.</x:v>
      </x:c>
      <x:c r="AA90" t="str">
        <x:v>Use sequential context only for continuity, not for adding previous/next steps into the frame.</x:v>
      </x:c>
      <x:c r="AB90" t="str">
        <x:v>Medium</x:v>
      </x:c>
      <x:c r="AC90" t="str"/>
      <x:c r="AD90" t="str">
        <x:v>Mock rater record for experiment design; audit against real video outputs before publication.</x:v>
      </x:c>
    </x:row>
    <x:row r="91">
      <x:c r="A91" t="str">
        <x:v>S015-Vidu-MET</x:v>
      </x:c>
      <x:c r="B91" t="str">
        <x:v>S015</x:v>
      </x:c>
      <x:c r="C91" t="str">
        <x:v>Plumbing</x:v>
      </x:c>
      <x:c r="D91" t="str">
        <x:v>hose repair</x:v>
      </x:c>
      <x:c r="E91" t="str">
        <x:v>replacing</x:v>
      </x:c>
      <x:c r="F91" t="n">
        <x:v>2</x:v>
      </x:c>
      <x:c r="G91" t="str">
        <x:v>replace a rubber washer inside a garden hose coupling</x:v>
      </x:c>
      <x:c r="H91" t="str">
        <x:v>flathead screwdriver</x:v>
      </x:c>
      <x:c r="I91" t="str">
        <x:v>garden hose coupling, washer</x:v>
      </x:c>
      <x:c r="J91" t="str">
        <x:v>Vidu 2.0</x:v>
      </x:c>
      <x:c r="K91" t="str">
        <x:v>Metadata-Enriched</x:v>
      </x:c>
      <x:c r="L91" t="str">
        <x:v>Uses clipDescription, clipSummary, toolNames, suppliesNames, processTechniques, safetyEquipment.</x:v>
      </x:c>
      <x:c r="M91" t="str">
        <x:v>Close-up realistic instructional DIY video: replace a rubber washer inside a garden hose coupling. Show flathead screwdriver working on garden hose coupling, washer. Hands visible, stable camera, no text overlay, neutral shop lighting. clipDescription='replace a rubber washer inside a garden hose coupling'. clipSummary='one practical repair step'. toolNames='flathead screwdriver'. suppliesNames='garden hose coupling, washer'. processTechnique='replacing'. Safety cue: use normal homeowner precautions and avoid risky shortcuts.</x:v>
      </x:c>
      <x:c r="N91" s="14" t="n">
        <x:v>5</x:v>
      </x:c>
      <x:c r="O91" s="14" t="n">
        <x:v>100155</x:v>
      </x:c>
      <x:c r="P91" t="str">
        <x:v>R-A</x:v>
      </x:c>
      <x:c r="Q91" s="12" t="n">
        <x:v>3.49</x:v>
      </x:c>
      <x:c r="R91" s="12" t="n">
        <x:v>3.58</x:v>
      </x:c>
      <x:c r="S91" s="12" t="n">
        <x:v>2.95</x:v>
      </x:c>
      <x:c r="T91" s="12" t="n">
        <x:v>3.4</x:v>
      </x:c>
      <x:c r="U91" s="12" t="n">
        <x:v>3.55</x:v>
      </x:c>
      <x:c r="V91" s="12" t="n">
        <x:v>3.21</x:v>
      </x:c>
      <x:c r="W91" s="12" t="n">
        <x:f>ROUND((Q91*0.24)+(R91*0.22)+(S91*0.16)+(T91*0.18)+(U91*0.10)+(V91*0.10),2)</x:f>
        <x:v>3.39</x:v>
      </x:c>
      <x:c r="X91" t="str">
        <x:f>IF(W91&gt;=3.55,"Pass","Fail")</x:f>
        <x:v>Fail</x:v>
      </x:c>
      <x:c r="Y91" t="str">
        <x:v>action starts too late</x:v>
      </x:c>
      <x:c r="Z91" t="str">
        <x:v>Clip review: This should fail the instructional bar. The model gestures toward the task, but the failure mode prevents a learner from trusting the technique: action starts too late. The prompt should prioritize hand path over cinematic lighting. For this plumbing example, the main judgment is still whether the viewer can copy the motion.</x:v>
      </x:c>
      <x:c r="AA91" t="str">
        <x:v>Use a reference image for the flathead screwdriver and specify its grip/orientation in plain language.</x:v>
      </x:c>
      <x:c r="AB91" t="str">
        <x:v>Medium</x:v>
      </x:c>
      <x:c r="AC91" t="str"/>
      <x:c r="AD91" t="str">
        <x:v>Simulated pilot row for planning; replace with blinded ratings after generating actual clips.</x:v>
      </x:c>
    </x:row>
    <x:row r="92">
      <x:c r="A92" t="str">
        <x:v>S016-Veo-REF</x:v>
      </x:c>
      <x:c r="B92" t="str">
        <x:v>S016</x:v>
      </x:c>
      <x:c r="C92" t="str">
        <x:v>Plumbing</x:v>
      </x:c>
      <x:c r="D92" t="str">
        <x:v>pipe support</x:v>
      </x:c>
      <x:c r="E92" t="str">
        <x:v>fastening</x:v>
      </x:c>
      <x:c r="F92" t="n">
        <x:v>3</x:v>
      </x:c>
      <x:c r="G92" t="str">
        <x:v>fasten a copper pipe strap to a wall stud</x:v>
      </x:c>
      <x:c r="H92" t="str">
        <x:v>screwdriver</x:v>
      </x:c>
      <x:c r="I92" t="str">
        <x:v>copper pipe strap, screw, wall stud</x:v>
      </x:c>
      <x:c r="J92" t="str">
        <x:v>Veo 3.1</x:v>
      </x:c>
      <x:c r="K92" t="str">
        <x:v>Reference-Guided</x:v>
      </x:c>
      <x:c r="L92" t="str">
        <x:v>Adds reference-tool/image cue and brand-agnostic visual constraints.</x:v>
      </x:c>
      <x:c r="M92" t="str">
        <x:v>Close-up realistic instructional DIY video: fasten a copper pipe strap to a wall stud. Show screwdriver working on copper pipe strap, screw, wall stud. Hands visible, stable camera, no text overlay, neutral shop lighting. Use a generic, brand-agnostic visual reference for the screwdriver; preserve the tool shape and scale; the screwdriver must remain in contact with copper pipe strap, screw, wall stud during the key motion.</x:v>
      </x:c>
      <x:c r="N92" s="14" t="n">
        <x:v>8</x:v>
      </x:c>
      <x:c r="O92" s="14" t="n">
        <x:v>100160</x:v>
      </x:c>
      <x:c r="P92" t="str">
        <x:v>R-A</x:v>
      </x:c>
      <x:c r="Q92" s="12" t="n">
        <x:v>4.86</x:v>
      </x:c>
      <x:c r="R92" s="12" t="n">
        <x:v>4.02</x:v>
      </x:c>
      <x:c r="S92" s="12" t="n">
        <x:v>4.64</x:v>
      </x:c>
      <x:c r="T92" s="12" t="n">
        <x:v>4.34</x:v>
      </x:c>
      <x:c r="U92" s="12" t="n">
        <x:v>3.79</x:v>
      </x:c>
      <x:c r="V92" s="12" t="n">
        <x:v>3.97</x:v>
      </x:c>
      <x:c r="W92" s="12" t="n">
        <x:f>ROUND((Q92*0.24)+(R92*0.22)+(S92*0.16)+(T92*0.18)+(U92*0.10)+(V92*0.10),2)</x:f>
        <x:v>4.35</x:v>
      </x:c>
      <x:c r="X92" t="str">
        <x:f>IF(W92&gt;=3.55,"Pass","Fail")</x:f>
        <x:v>Pass</x:v>
      </x:c>
      <x:c r="Y92" t="str">
        <x:v>none</x:v>
      </x:c>
      <x:c r="Z92" t="str">
        <x:v>Review note: Clear enough for a learner. The workpiece does not wander and the camera stays on the copper pipe strap, screw, wall stud; I would still add a freeze or caption after generation. The tool silhouette is acceptable; the mechanics are the weak part. For this plumbing example, the main judgment is still whether the viewer can copy the motion.</x:v>
      </x:c>
      <x:c r="AA92" t="str">
        <x:v>No immediate re-run; keep as candidate and verify with a second rater.</x:v>
      </x:c>
      <x:c r="AB92" t="str">
        <x:v>High</x:v>
      </x:c>
      <x:c r="AC92" t="str"/>
      <x:c r="AD92" t="str">
        <x:v>Simulated pilot row for planning; replace with blinded ratings after generating actual clips.</x:v>
      </x:c>
    </x:row>
    <x:row r="93">
      <x:c r="A93" t="str">
        <x:v>S016-Sora-REF</x:v>
      </x:c>
      <x:c r="B93" t="str">
        <x:v>S016</x:v>
      </x:c>
      <x:c r="C93" t="str">
        <x:v>Plumbing</x:v>
      </x:c>
      <x:c r="D93" t="str">
        <x:v>pipe support</x:v>
      </x:c>
      <x:c r="E93" t="str">
        <x:v>fastening</x:v>
      </x:c>
      <x:c r="F93" t="n">
        <x:v>3</x:v>
      </x:c>
      <x:c r="G93" t="str">
        <x:v>fasten a copper pipe strap to a wall stud</x:v>
      </x:c>
      <x:c r="H93" t="str">
        <x:v>screwdriver</x:v>
      </x:c>
      <x:c r="I93" t="str">
        <x:v>copper pipe strap, screw, wall stud</x:v>
      </x:c>
      <x:c r="J93" t="str">
        <x:v>Sora 2 Pro</x:v>
      </x:c>
      <x:c r="K93" t="str">
        <x:v>Reference-Guided</x:v>
      </x:c>
      <x:c r="L93" t="str">
        <x:v>Adds reference-tool/image cue and brand-agnostic visual constraints.</x:v>
      </x:c>
      <x:c r="M93" t="str">
        <x:v>Close-up realistic instructional DIY video: fasten a copper pipe strap to a wall stud. Show screwdriver working on copper pipe strap, screw, wall stud. Hands visible, stable camera, no text overlay, neutral shop lighting. Use a generic, brand-agnostic visual reference for the screwdriver; preserve the tool shape and scale; the screwdriver must remain in contact with copper pipe strap, screw, wall stud during the key motion.</x:v>
      </x:c>
      <x:c r="N93" s="14" t="n">
        <x:v>8</x:v>
      </x:c>
      <x:c r="O93" s="14" t="n">
        <x:v>100161</x:v>
      </x:c>
      <x:c r="P93" t="str">
        <x:v>R-C</x:v>
      </x:c>
      <x:c r="Q93" s="12" t="n">
        <x:v>4.15</x:v>
      </x:c>
      <x:c r="R93" s="12" t="n">
        <x:v>3.73</x:v>
      </x:c>
      <x:c r="S93" s="12" t="n">
        <x:v>4.43</x:v>
      </x:c>
      <x:c r="T93" s="12" t="n">
        <x:v>4.31</x:v>
      </x:c>
      <x:c r="U93" s="12" t="n">
        <x:v>3.64</x:v>
      </x:c>
      <x:c r="V93" s="12" t="n">
        <x:v>4.16</x:v>
      </x:c>
      <x:c r="W93" s="12" t="n">
        <x:f>ROUND((Q93*0.24)+(R93*0.22)+(S93*0.16)+(T93*0.18)+(U93*0.10)+(V93*0.10),2)</x:f>
        <x:v>4.08</x:v>
      </x:c>
      <x:c r="X93" t="str">
        <x:f>IF(W93&gt;=3.55,"Pass","Fail")</x:f>
        <x:v>Pass</x:v>
      </x:c>
      <x:c r="Y93" t="str">
        <x:v>contact point hidden</x:v>
      </x:c>
      <x:c r="Z93" t="str">
        <x:v>Rater note: The intention is clear, especially if you already know the step. A novice might miss the key detail because this issue appears right where the action should be most explicit: contact point hidden. The tool silhouette is acceptable; the mechanics are the weak part. For this plumbing example, the main judgment is still whether the viewer can copy the motion.</x:v>
      </x:c>
      <x:c r="AA93" t="str">
        <x:v>Use a reference image for the screwdriver and specify its grip/orientation in plain language.</x:v>
      </x:c>
      <x:c r="AB93" t="str">
        <x:v>Medium-High</x:v>
      </x:c>
      <x:c r="AC93" t="str"/>
      <x:c r="AD93" t="str">
        <x:v>Planning dataset only; scores are plausible placeholders, not vendor claims.</x:v>
      </x:c>
    </x:row>
    <x:row r="94">
      <x:c r="A94" t="str">
        <x:v>S016-Runway-REF</x:v>
      </x:c>
      <x:c r="B94" t="str">
        <x:v>S016</x:v>
      </x:c>
      <x:c r="C94" t="str">
        <x:v>Plumbing</x:v>
      </x:c>
      <x:c r="D94" t="str">
        <x:v>pipe support</x:v>
      </x:c>
      <x:c r="E94" t="str">
        <x:v>fastening</x:v>
      </x:c>
      <x:c r="F94" t="n">
        <x:v>3</x:v>
      </x:c>
      <x:c r="G94" t="str">
        <x:v>fasten a copper pipe strap to a wall stud</x:v>
      </x:c>
      <x:c r="H94" t="str">
        <x:v>screwdriver</x:v>
      </x:c>
      <x:c r="I94" t="str">
        <x:v>copper pipe strap, screw, wall stud</x:v>
      </x:c>
      <x:c r="J94" t="str">
        <x:v>Runway Gen-4.5</x:v>
      </x:c>
      <x:c r="K94" t="str">
        <x:v>Reference-Guided</x:v>
      </x:c>
      <x:c r="L94" t="str">
        <x:v>Adds reference-tool/image cue and brand-agnostic visual constraints.</x:v>
      </x:c>
      <x:c r="M94" t="str">
        <x:v>Close-up realistic instructional DIY video: fasten a copper pipe strap to a wall stud. Show screwdriver working on copper pipe strap, screw, wall stud. Hands visible, stable camera, no text overlay, neutral shop lighting. Use a generic, brand-agnostic visual reference for the screwdriver; preserve the tool shape and scale; the screwdriver must remain in contact with copper pipe strap, screw, wall stud during the key motion.</x:v>
      </x:c>
      <x:c r="N94" s="14" t="n">
        <x:v>5</x:v>
      </x:c>
      <x:c r="O94" s="14" t="n">
        <x:v>100162</x:v>
      </x:c>
      <x:c r="P94" t="str">
        <x:v>R-C</x:v>
      </x:c>
      <x:c r="Q94" s="12" t="n">
        <x:v>4.57</x:v>
      </x:c>
      <x:c r="R94" s="12" t="n">
        <x:v>3.91</x:v>
      </x:c>
      <x:c r="S94" s="12" t="n">
        <x:v>4.05</x:v>
      </x:c>
      <x:c r="T94" s="12" t="n">
        <x:v>4.36</x:v>
      </x:c>
      <x:c r="U94" s="12" t="n">
        <x:v>3.85</x:v>
      </x:c>
      <x:c r="V94" s="12" t="n">
        <x:v>3.78</x:v>
      </x:c>
      <x:c r="W94" s="12" t="n">
        <x:f>ROUND((Q94*0.24)+(R94*0.22)+(S94*0.16)+(T94*0.18)+(U94*0.10)+(V94*0.10),2)</x:f>
        <x:v>4.15</x:v>
      </x:c>
      <x:c r="X94" t="str">
        <x:f>IF(W94&gt;=3.55,"Pass","Fail")</x:f>
        <x:v>Pass</x:v>
      </x:c>
      <x:c r="Y94" t="str">
        <x:v>tool pose a little soft</x:v>
      </x:c>
      <x:c r="Z94" t="str">
        <x:v>Review note: Clear enough for a learner. The workpiece does not wander and the camera stays on the copper pipe strap, screw, wall stud; I would still add a freeze or caption after generation. I marked it down for the key moment rather than the opening setup. For this plumbing example, the main judgment is still whether the viewer can copy the motion.</x:v>
      </x:c>
      <x:c r="AA94" t="str">
        <x:v>Specify the exact contact point and do not allow the hand to cover it.</x:v>
      </x:c>
      <x:c r="AB94" t="str">
        <x:v>High</x:v>
      </x:c>
      <x:c r="AC94" t="str"/>
      <x:c r="AD94" t="str">
        <x:v>Planning dataset only; scores are plausible placeholders, not vendor claims.</x:v>
      </x:c>
    </x:row>
    <x:row r="95">
      <x:c r="A95" t="str">
        <x:v>S016-Kling-REF</x:v>
      </x:c>
      <x:c r="B95" t="str">
        <x:v>S016</x:v>
      </x:c>
      <x:c r="C95" t="str">
        <x:v>Plumbing</x:v>
      </x:c>
      <x:c r="D95" t="str">
        <x:v>pipe support</x:v>
      </x:c>
      <x:c r="E95" t="str">
        <x:v>fastening</x:v>
      </x:c>
      <x:c r="F95" t="n">
        <x:v>3</x:v>
      </x:c>
      <x:c r="G95" t="str">
        <x:v>fasten a copper pipe strap to a wall stud</x:v>
      </x:c>
      <x:c r="H95" t="str">
        <x:v>screwdriver</x:v>
      </x:c>
      <x:c r="I95" t="str">
        <x:v>copper pipe strap, screw, wall stud</x:v>
      </x:c>
      <x:c r="J95" t="str">
        <x:v>Kling v3.0 (Replicate)</x:v>
      </x:c>
      <x:c r="K95" t="str">
        <x:v>Reference-Guided</x:v>
      </x:c>
      <x:c r="L95" t="str">
        <x:v>Adds reference-tool/image cue and brand-agnostic visual constraints.</x:v>
      </x:c>
      <x:c r="M95" t="str">
        <x:v>Close-up realistic instructional DIY video: fasten a copper pipe strap to a wall stud. Show screwdriver working on copper pipe strap, screw, wall stud. Hands visible, stable camera, no text overlay, neutral shop lighting. Use a generic, brand-agnostic visual reference for the screwdriver; preserve the tool shape and scale; the screwdriver must remain in contact with copper pipe strap, screw, wall stud during the key motion.</x:v>
      </x:c>
      <x:c r="N95" s="14" t="n">
        <x:v>10</x:v>
      </x:c>
      <x:c r="O95" s="14" t="n">
        <x:v>100163</x:v>
      </x:c>
      <x:c r="P95" t="str">
        <x:v>R-B</x:v>
      </x:c>
      <x:c r="Q95" s="12" t="n">
        <x:v>4.16</x:v>
      </x:c>
      <x:c r="R95" s="12" t="n">
        <x:v>4.14</x:v>
      </x:c>
      <x:c r="S95" s="12" t="n">
        <x:v>4.02</x:v>
      </x:c>
      <x:c r="T95" s="12" t="n">
        <x:v>4.14</x:v>
      </x:c>
      <x:c r="U95" s="12" t="n">
        <x:v>4.07</x:v>
      </x:c>
      <x:c r="V95" s="12" t="n">
        <x:v>3.89</x:v>
      </x:c>
      <x:c r="W95" s="12" t="n">
        <x:f>ROUND((Q95*0.24)+(R95*0.22)+(S95*0.16)+(T95*0.18)+(U95*0.10)+(V95*0.10),2)</x:f>
        <x:v>4.09</x:v>
      </x:c>
      <x:c r="X95" t="str">
        <x:f>IF(W95&gt;=3.55,"Pass","Fail")</x:f>
        <x:v>Pass</x:v>
      </x:c>
      <x:c r="Y95" t="str">
        <x:v>contact point hidden</x:v>
      </x:c>
      <x:c r="Z95" t="str">
        <x:v>Rater note: Looks plausible at first glance. On a second pass, the copper pipe strap, screw, wall stud shifts slightly and the model seems to infer the outcome rather than show the full fastening. The clip needs a verifier pass before it can enter the training pool. For this plumbing example, the main judgment is still whether the viewer can copy the motion.</x:v>
      </x:c>
      <x:c r="AA95" t="str">
        <x:v>Use sequential context only for continuity, not for adding previous/next steps into the frame.</x:v>
      </x:c>
      <x:c r="AB95" t="str">
        <x:v>High</x:v>
      </x:c>
      <x:c r="AC95" t="str"/>
      <x:c r="AD95" t="str">
        <x:v>Mock rater record for experiment design; audit against real video outputs before publication.</x:v>
      </x:c>
    </x:row>
    <x:row r="96">
      <x:c r="A96" t="str">
        <x:v>S016-Pika-REF</x:v>
      </x:c>
      <x:c r="B96" t="str">
        <x:v>S016</x:v>
      </x:c>
      <x:c r="C96" t="str">
        <x:v>Plumbing</x:v>
      </x:c>
      <x:c r="D96" t="str">
        <x:v>pipe support</x:v>
      </x:c>
      <x:c r="E96" t="str">
        <x:v>fastening</x:v>
      </x:c>
      <x:c r="F96" t="n">
        <x:v>3</x:v>
      </x:c>
      <x:c r="G96" t="str">
        <x:v>fasten a copper pipe strap to a wall stud</x:v>
      </x:c>
      <x:c r="H96" t="str">
        <x:v>screwdriver</x:v>
      </x:c>
      <x:c r="I96" t="str">
        <x:v>copper pipe strap, screw, wall stud</x:v>
      </x:c>
      <x:c r="J96" t="str">
        <x:v>Pika 2.2</x:v>
      </x:c>
      <x:c r="K96" t="str">
        <x:v>Reference-Guided</x:v>
      </x:c>
      <x:c r="L96" t="str">
        <x:v>Adds reference-tool/image cue and brand-agnostic visual constraints.</x:v>
      </x:c>
      <x:c r="M96" t="str">
        <x:v>Close-up realistic instructional DIY video: fasten a copper pipe strap to a wall stud. Show screwdriver working on copper pipe strap, screw, wall stud. Hands visible, stable camera, no text overlay, neutral shop lighting. Use a generic, brand-agnostic visual reference for the screwdriver; preserve the tool shape and scale; the screwdriver must remain in contact with copper pipe strap, screw, wall stud during the key motion.</x:v>
      </x:c>
      <x:c r="N96" s="14" t="n">
        <x:v>5</x:v>
      </x:c>
      <x:c r="O96" s="14" t="n">
        <x:v>100164</x:v>
      </x:c>
      <x:c r="P96" t="str">
        <x:v>R-E</x:v>
      </x:c>
      <x:c r="Q96" s="12" t="n">
        <x:v>3.65</x:v>
      </x:c>
      <x:c r="R96" s="12" t="n">
        <x:v>3.5</x:v>
      </x:c>
      <x:c r="S96" s="12" t="n">
        <x:v>3.92</x:v>
      </x:c>
      <x:c r="T96" s="12" t="n">
        <x:v>3.64</x:v>
      </x:c>
      <x:c r="U96" s="12" t="n">
        <x:v>3.75</x:v>
      </x:c>
      <x:c r="V96" s="12" t="n">
        <x:v>3.66</x:v>
      </x:c>
      <x:c r="W96" s="12" t="n">
        <x:f>ROUND((Q96*0.24)+(R96*0.22)+(S96*0.16)+(T96*0.18)+(U96*0.10)+(V96*0.10),2)</x:f>
        <x:v>3.67</x:v>
      </x:c>
      <x:c r="X96" t="str">
        <x:f>IF(W96&gt;=3.55,"Pass","Fail")</x:f>
        <x:v>Pass</x:v>
      </x:c>
      <x:c r="Y96" t="str">
        <x:v>camera blocks work</x:v>
      </x:c>
      <x:c r="Z96" t="str">
        <x:v>Clip review: The clip has the right ingredients but not quite the right mechanics. It needs a tighter prompt about grip, contact, and the end position. I would keep the same camera angle but ask for a tighter view of the contact point. For this plumbing example, the main judgment is still whether the viewer can copy the motion.</x:v>
      </x:c>
      <x:c r="AA96" t="str">
        <x:v>Add a one-sentence end-state requirement: viewer must see the completed fastening result for one full second.</x:v>
      </x:c>
      <x:c r="AB96" t="str">
        <x:v>Medium-High</x:v>
      </x:c>
      <x:c r="AC96" t="str"/>
      <x:c r="AD96" t="str">
        <x:v>Synthetic benchmark entry; generated clip URL should be filled after API run.</x:v>
      </x:c>
    </x:row>
    <x:row r="97">
      <x:c r="A97" t="str">
        <x:v>S016-Vidu-REF</x:v>
      </x:c>
      <x:c r="B97" t="str">
        <x:v>S016</x:v>
      </x:c>
      <x:c r="C97" t="str">
        <x:v>Plumbing</x:v>
      </x:c>
      <x:c r="D97" t="str">
        <x:v>pipe support</x:v>
      </x:c>
      <x:c r="E97" t="str">
        <x:v>fastening</x:v>
      </x:c>
      <x:c r="F97" t="n">
        <x:v>3</x:v>
      </x:c>
      <x:c r="G97" t="str">
        <x:v>fasten a copper pipe strap to a wall stud</x:v>
      </x:c>
      <x:c r="H97" t="str">
        <x:v>screwdriver</x:v>
      </x:c>
      <x:c r="I97" t="str">
        <x:v>copper pipe strap, screw, wall stud</x:v>
      </x:c>
      <x:c r="J97" t="str">
        <x:v>Vidu 2.0</x:v>
      </x:c>
      <x:c r="K97" t="str">
        <x:v>Reference-Guided</x:v>
      </x:c>
      <x:c r="L97" t="str">
        <x:v>Adds reference-tool/image cue and brand-agnostic visual constraints.</x:v>
      </x:c>
      <x:c r="M97" t="str">
        <x:v>Close-up realistic instructional DIY video: fasten a copper pipe strap to a wall stud. Show screwdriver working on copper pipe strap, screw, wall stud. Hands visible, stable camera, no text overlay, neutral shop lighting. Use a generic, brand-agnostic visual reference for the screwdriver; preserve the tool shape and scale; the screwdriver must remain in contact with copper pipe strap, screw, wall stud during the key motion.</x:v>
      </x:c>
      <x:c r="N97" s="14" t="n">
        <x:v>5</x:v>
      </x:c>
      <x:c r="O97" s="14" t="n">
        <x:v>100165</x:v>
      </x:c>
      <x:c r="P97" t="str">
        <x:v>R-E</x:v>
      </x:c>
      <x:c r="Q97" s="12" t="n">
        <x:v>3.38</x:v>
      </x:c>
      <x:c r="R97" s="12" t="n">
        <x:v>3.42</x:v>
      </x:c>
      <x:c r="S97" s="12" t="n">
        <x:v>3.33</x:v>
      </x:c>
      <x:c r="T97" s="12" t="n">
        <x:v>3.1</x:v>
      </x:c>
      <x:c r="U97" s="12" t="n">
        <x:v>3.14</x:v>
      </x:c>
      <x:c r="V97" s="12" t="n">
        <x:v>3.16</x:v>
      </x:c>
      <x:c r="W97" s="12" t="n">
        <x:f>ROUND((Q97*0.24)+(R97*0.22)+(S97*0.16)+(T97*0.18)+(U97*0.10)+(V97*0.10),2)</x:f>
        <x:v>3.28</x:v>
      </x:c>
      <x:c r="X97" t="str">
        <x:f>IF(W97&gt;=3.55,"Pass","Fail")</x:f>
        <x:v>Fail</x:v>
      </x:c>
      <x:c r="Y97" t="str">
        <x:v>tool floats near object</x:v>
      </x:c>
      <x:c r="Z97" t="str">
        <x:v>Clip review: A reviewer would likely reject this. It may be visually attractive, but the tool/object relationship breaks during the important moment. The prompt should prioritize hand path over cinematic lighting. For this plumbing example, the main judgment is still whether the viewer can copy the motion.</x:v>
      </x:c>
      <x:c r="AA97" t="str">
        <x:v>Specify the exact contact point and do not allow the hand to cover it.</x:v>
      </x:c>
      <x:c r="AB97" t="str">
        <x:v>Medium</x:v>
      </x:c>
      <x:c r="AC97" t="str"/>
      <x:c r="AD97" t="str">
        <x:v>Simulated pilot row for planning; replace with blinded ratings after generating actual clips.</x:v>
      </x:c>
    </x:row>
    <x:row r="98">
      <x:c r="A98" t="str">
        <x:v>S017-Veo-SEQ</x:v>
      </x:c>
      <x:c r="B98" t="str">
        <x:v>S017</x:v>
      </x:c>
      <x:c r="C98" t="str">
        <x:v>Plumbing</x:v>
      </x:c>
      <x:c r="D98" t="str">
        <x:v>water heater</x:v>
      </x:c>
      <x:c r="E98" t="str">
        <x:v>flushing</x:v>
      </x:c>
      <x:c r="F98" t="n">
        <x:v>4</x:v>
      </x:c>
      <x:c r="G98" t="str">
        <x:v>open a water-heater drain valve into a hose</x:v>
      </x:c>
      <x:c r="H98" t="str">
        <x:v>garden hose</x:v>
      </x:c>
      <x:c r="I98" t="str">
        <x:v>water-heater drain valve</x:v>
      </x:c>
      <x:c r="J98" t="str">
        <x:v>Veo 3.1</x:v>
      </x:c>
      <x:c r="K98" t="str">
        <x:v>Sequential Context</x:v>
      </x:c>
      <x:c r="L98" t="str">
        <x:v>Provides previous and next step for continuity without asking for them to appear.</x:v>
      </x:c>
      <x:c r="M98" t="str">
        <x:v>Close-up realistic instructional DIY video: open a water-heater drain valve into a hose. Show garden hose working on water-heater drain valve. Hands visible, stable camera, no text overlay, neutral shop lighting. This is the middle clip in a sequence. Previous step has already prepared the work area; next step will verify the result. Keep the same workpiece, camera distance, and hand orientation.</x:v>
      </x:c>
      <x:c r="N98" s="14" t="n">
        <x:v>8</x:v>
      </x:c>
      <x:c r="O98" s="14" t="n">
        <x:v>100170</x:v>
      </x:c>
      <x:c r="P98" t="str">
        <x:v>R-C</x:v>
      </x:c>
      <x:c r="Q98" s="12" t="n">
        <x:v>3.85</x:v>
      </x:c>
      <x:c r="R98" s="12" t="n">
        <x:v>4.02</x:v>
      </x:c>
      <x:c r="S98" s="12" t="n">
        <x:v>4.81</x:v>
      </x:c>
      <x:c r="T98" s="12" t="n">
        <x:v>4.31</x:v>
      </x:c>
      <x:c r="U98" s="12" t="n">
        <x:v>4.51</x:v>
      </x:c>
      <x:c r="V98" s="12" t="n">
        <x:v>4.6</x:v>
      </x:c>
      <x:c r="W98" s="12" t="n">
        <x:f>ROUND((Q98*0.24)+(R98*0.22)+(S98*0.16)+(T98*0.18)+(U98*0.10)+(V98*0.10),2)</x:f>
        <x:v>4.26</x:v>
      </x:c>
      <x:c r="X98" t="str">
        <x:f>IF(W98&gt;=3.55,"Pass","Fail")</x:f>
        <x:v>Pass</x:v>
      </x:c>
      <x:c r="Y98" t="str">
        <x:v>minor continuity jump</x:v>
      </x:c>
      <x:c r="Z98" t="str">
        <x:v>Rater note: Best part is the pacing: it gives enough time to understand flushing without turning into a beauty shot. Minor issue: over-polished camera move. On a small preview it might pass, but full-screen review exposes the issue. Continuity is useful here, but it cannot replace showing the actual contact point.</x:v>
      </x:c>
      <x:c r="AA98" t="str">
        <x:v>Ask for a static close-up and require the garden hose to touch the water-heater drain valve before any motion starts.</x:v>
      </x:c>
      <x:c r="AB98" t="str">
        <x:v>High</x:v>
      </x:c>
      <x:c r="AC98" t="str"/>
      <x:c r="AD98" t="str">
        <x:v>Synthetic benchmark entry; generated clip URL should be filled after API run.</x:v>
      </x:c>
    </x:row>
    <x:row r="99">
      <x:c r="A99" t="str">
        <x:v>S017-Sora-SEQ</x:v>
      </x:c>
      <x:c r="B99" t="str">
        <x:v>S017</x:v>
      </x:c>
      <x:c r="C99" t="str">
        <x:v>Plumbing</x:v>
      </x:c>
      <x:c r="D99" t="str">
        <x:v>water heater</x:v>
      </x:c>
      <x:c r="E99" t="str">
        <x:v>flushing</x:v>
      </x:c>
      <x:c r="F99" t="n">
        <x:v>4</x:v>
      </x:c>
      <x:c r="G99" t="str">
        <x:v>open a water-heater drain valve into a hose</x:v>
      </x:c>
      <x:c r="H99" t="str">
        <x:v>garden hose</x:v>
      </x:c>
      <x:c r="I99" t="str">
        <x:v>water-heater drain valve</x:v>
      </x:c>
      <x:c r="J99" t="str">
        <x:v>Sora 2 Pro</x:v>
      </x:c>
      <x:c r="K99" t="str">
        <x:v>Sequential Context</x:v>
      </x:c>
      <x:c r="L99" t="str">
        <x:v>Provides previous and next step for continuity without asking for them to appear.</x:v>
      </x:c>
      <x:c r="M99" t="str">
        <x:v>Close-up realistic instructional DIY video: open a water-heater drain valve into a hose. Show garden hose working on water-heater drain valve. Hands visible, stable camera, no text overlay, neutral shop lighting. This is the middle clip in a sequence. Previous step has already prepared the work area; next step will verify the result. Keep the same workpiece, camera distance, and hand orientation.</x:v>
      </x:c>
      <x:c r="N99" s="14" t="n">
        <x:v>8</x:v>
      </x:c>
      <x:c r="O99" s="14" t="n">
        <x:v>100171</x:v>
      </x:c>
      <x:c r="P99" t="str">
        <x:v>R-A</x:v>
      </x:c>
      <x:c r="Q99" s="12" t="n">
        <x:v>3.93</x:v>
      </x:c>
      <x:c r="R99" s="12" t="n">
        <x:v>4.48</x:v>
      </x:c>
      <x:c r="S99" s="12" t="n">
        <x:v>3.43</x:v>
      </x:c>
      <x:c r="T99" s="12" t="n">
        <x:v>3.56</x:v>
      </x:c>
      <x:c r="U99" s="12" t="n">
        <x:v>3.59</x:v>
      </x:c>
      <x:c r="V99" s="12" t="n">
        <x:v>3.89</x:v>
      </x:c>
      <x:c r="W99" s="12" t="n">
        <x:f>ROUND((Q99*0.24)+(R99*0.22)+(S99*0.16)+(T99*0.18)+(U99*0.10)+(V99*0.10),2)</x:f>
        <x:v>3.87</x:v>
      </x:c>
      <x:c r="X99" t="str">
        <x:f>IF(W99&gt;=3.55,"Pass","Fail")</x:f>
        <x:v>Pass</x:v>
      </x:c>
      <x:c r="Y99" t="str">
        <x:v>minor continuity jump</x:v>
      </x:c>
      <x:c r="Z99" t="str">
        <x:v>Human check: Looks plausible at first glance. On a second pass, the water-heater drain valve shifts slightly and the model seems to infer the outcome rather than show the full flushing. The most important fix is to show the before-and-after state without a cut. Continuity is useful here, but it cannot replace showing the actual contact point.</x:v>
      </x:c>
      <x:c r="AA99" t="str">
        <x:v>Specify the exact contact point and do not allow the hand to cover it.</x:v>
      </x:c>
      <x:c r="AB99" t="str">
        <x:v>Medium</x:v>
      </x:c>
      <x:c r="AC99" t="str"/>
      <x:c r="AD99" t="str">
        <x:v>Mock rater record for experiment design; audit against real video outputs before publication.</x:v>
      </x:c>
    </x:row>
    <x:row r="100">
      <x:c r="A100" t="str">
        <x:v>S017-Runway-SEQ</x:v>
      </x:c>
      <x:c r="B100" t="str">
        <x:v>S017</x:v>
      </x:c>
      <x:c r="C100" t="str">
        <x:v>Plumbing</x:v>
      </x:c>
      <x:c r="D100" t="str">
        <x:v>water heater</x:v>
      </x:c>
      <x:c r="E100" t="str">
        <x:v>flushing</x:v>
      </x:c>
      <x:c r="F100" t="n">
        <x:v>4</x:v>
      </x:c>
      <x:c r="G100" t="str">
        <x:v>open a water-heater drain valve into a hose</x:v>
      </x:c>
      <x:c r="H100" t="str">
        <x:v>garden hose</x:v>
      </x:c>
      <x:c r="I100" t="str">
        <x:v>water-heater drain valve</x:v>
      </x:c>
      <x:c r="J100" t="str">
        <x:v>Runway Gen-4.5</x:v>
      </x:c>
      <x:c r="K100" t="str">
        <x:v>Sequential Context</x:v>
      </x:c>
      <x:c r="L100" t="str">
        <x:v>Provides previous and next step for continuity without asking for them to appear.</x:v>
      </x:c>
      <x:c r="M100" t="str">
        <x:v>Close-up realistic instructional DIY video: open a water-heater drain valve into a hose. Show garden hose working on water-heater drain valve. Hands visible, stable camera, no text overlay, neutral shop lighting. This is the middle clip in a sequence. Previous step has already prepared the work area; next step will verify the result. Keep the same workpiece, camera distance, and hand orientation.</x:v>
      </x:c>
      <x:c r="N100" s="14" t="n">
        <x:v>5</x:v>
      </x:c>
      <x:c r="O100" s="14" t="n">
        <x:v>100172</x:v>
      </x:c>
      <x:c r="P100" t="str">
        <x:v>R-E</x:v>
      </x:c>
      <x:c r="Q100" s="12" t="n">
        <x:v>3.75</x:v>
      </x:c>
      <x:c r="R100" s="12" t="n">
        <x:v>4.26</x:v>
      </x:c>
      <x:c r="S100" s="12" t="n">
        <x:v>4.21</x:v>
      </x:c>
      <x:c r="T100" s="12" t="n">
        <x:v>3.73</x:v>
      </x:c>
      <x:c r="U100" s="12" t="n">
        <x:v>3.39</x:v>
      </x:c>
      <x:c r="V100" s="12" t="n">
        <x:v>3.65</x:v>
      </x:c>
      <x:c r="W100" s="12" t="n">
        <x:f>ROUND((Q100*0.24)+(R100*0.22)+(S100*0.16)+(T100*0.18)+(U100*0.10)+(V100*0.10),2)</x:f>
        <x:v>3.89</x:v>
      </x:c>
      <x:c r="X100" t="str">
        <x:f>IF(W100&gt;=3.55,"Pass","Fail")</x:f>
        <x:v>Pass</x:v>
      </x:c>
      <x:c r="Y100" t="str">
        <x:v>minor continuity jump</x:v>
      </x:c>
      <x:c r="Z100" t="str">
        <x:v>QA note: The intention is clear, especially if you already know the step. A novice might miss the key detail because this issue appears right where the action should be most explicit: minor continuity jump. I would keep the same camera angle but ask for a tighter view of the contact point. Continuity is useful here, but it cannot replace showing the actual contact point.</x:v>
      </x:c>
      <x:c r="AA100" t="str">
        <x:v>Ask for a static close-up and require the garden hose to touch the water-heater drain valve before any motion starts.</x:v>
      </x:c>
      <x:c r="AB100" t="str">
        <x:v>Medium-High</x:v>
      </x:c>
      <x:c r="AC100" t="str"/>
      <x:c r="AD100" t="str">
        <x:v>Mock rater record for experiment design; audit against real video outputs before publication.</x:v>
      </x:c>
    </x:row>
    <x:row r="101">
      <x:c r="A101" t="str">
        <x:v>S017-Kling-SEQ</x:v>
      </x:c>
      <x:c r="B101" t="str">
        <x:v>S017</x:v>
      </x:c>
      <x:c r="C101" t="str">
        <x:v>Plumbing</x:v>
      </x:c>
      <x:c r="D101" t="str">
        <x:v>water heater</x:v>
      </x:c>
      <x:c r="E101" t="str">
        <x:v>flushing</x:v>
      </x:c>
      <x:c r="F101" t="n">
        <x:v>4</x:v>
      </x:c>
      <x:c r="G101" t="str">
        <x:v>open a water-heater drain valve into a hose</x:v>
      </x:c>
      <x:c r="H101" t="str">
        <x:v>garden hose</x:v>
      </x:c>
      <x:c r="I101" t="str">
        <x:v>water-heater drain valve</x:v>
      </x:c>
      <x:c r="J101" t="str">
        <x:v>Kling v3.0 (Replicate)</x:v>
      </x:c>
      <x:c r="K101" t="str">
        <x:v>Sequential Context</x:v>
      </x:c>
      <x:c r="L101" t="str">
        <x:v>Provides previous and next step for continuity without asking for them to appear.</x:v>
      </x:c>
      <x:c r="M101" t="str">
        <x:v>Close-up realistic instructional DIY video: open a water-heater drain valve into a hose. Show garden hose working on water-heater drain valve. Hands visible, stable camera, no text overlay, neutral shop lighting. This is the middle clip in a sequence. Previous step has already prepared the work area; next step will verify the result. Keep the same workpiece, camera distance, and hand orientation.</x:v>
      </x:c>
      <x:c r="N101" s="14" t="n">
        <x:v>10</x:v>
      </x:c>
      <x:c r="O101" s="14" t="n">
        <x:v>100173</x:v>
      </x:c>
      <x:c r="P101" t="str">
        <x:v>R-A</x:v>
      </x:c>
      <x:c r="Q101" s="12" t="n">
        <x:v>3.92</x:v>
      </x:c>
      <x:c r="R101" s="12" t="n">
        <x:v>3.56</x:v>
      </x:c>
      <x:c r="S101" s="12" t="n">
        <x:v>4.13</x:v>
      </x:c>
      <x:c r="T101" s="12" t="n">
        <x:v>4.08</x:v>
      </x:c>
      <x:c r="U101" s="12" t="n">
        <x:v>4.33</x:v>
      </x:c>
      <x:c r="V101" s="12" t="n">
        <x:v>3.89</x:v>
      </x:c>
      <x:c r="W101" s="12" t="n">
        <x:f>ROUND((Q101*0.24)+(R101*0.22)+(S101*0.16)+(T101*0.18)+(U101*0.10)+(V101*0.10),2)</x:f>
        <x:v>3.94</x:v>
      </x:c>
      <x:c r="X101" t="str">
        <x:f>IF(W101&gt;=3.55,"Pass","Fail")</x:f>
        <x:v>Pass</x:v>
      </x:c>
      <x:c r="Y101" t="str">
        <x:v>contact point hidden</x:v>
      </x:c>
      <x:c r="Z101" t="str">
        <x:v>QA note: Looks plausible at first glance. On a second pass, the water-heater drain valve shifts slightly and the model seems to infer the outcome rather than show the full flushing. This reads better as a teaser than as an instructional clip. Continuity is useful here, but it cannot replace showing the actual contact point.</x:v>
      </x:c>
      <x:c r="AA101" t="str">
        <x:v>Ask for a static close-up and require the garden hose to touch the water-heater drain valve before any motion starts.</x:v>
      </x:c>
      <x:c r="AB101" t="str">
        <x:v>High</x:v>
      </x:c>
      <x:c r="AC101" t="str"/>
      <x:c r="AD101" t="str">
        <x:v>Simulated pilot row for planning; replace with blinded ratings after generating actual clips.</x:v>
      </x:c>
    </x:row>
    <x:row r="102">
      <x:c r="A102" t="str">
        <x:v>S017-Pika-SEQ</x:v>
      </x:c>
      <x:c r="B102" t="str">
        <x:v>S017</x:v>
      </x:c>
      <x:c r="C102" t="str">
        <x:v>Plumbing</x:v>
      </x:c>
      <x:c r="D102" t="str">
        <x:v>water heater</x:v>
      </x:c>
      <x:c r="E102" t="str">
        <x:v>flushing</x:v>
      </x:c>
      <x:c r="F102" t="n">
        <x:v>4</x:v>
      </x:c>
      <x:c r="G102" t="str">
        <x:v>open a water-heater drain valve into a hose</x:v>
      </x:c>
      <x:c r="H102" t="str">
        <x:v>garden hose</x:v>
      </x:c>
      <x:c r="I102" t="str">
        <x:v>water-heater drain valve</x:v>
      </x:c>
      <x:c r="J102" t="str">
        <x:v>Pika 2.2</x:v>
      </x:c>
      <x:c r="K102" t="str">
        <x:v>Sequential Context</x:v>
      </x:c>
      <x:c r="L102" t="str">
        <x:v>Provides previous and next step for continuity without asking for them to appear.</x:v>
      </x:c>
      <x:c r="M102" t="str">
        <x:v>Close-up realistic instructional DIY video: open a water-heater drain valve into a hose. Show garden hose working on water-heater drain valve. Hands visible, stable camera, no text overlay, neutral shop lighting. This is the middle clip in a sequence. Previous step has already prepared the work area; next step will verify the result. Keep the same workpiece, camera distance, and hand orientation.</x:v>
      </x:c>
      <x:c r="N102" s="14" t="n">
        <x:v>5</x:v>
      </x:c>
      <x:c r="O102" s="14" t="n">
        <x:v>100174</x:v>
      </x:c>
      <x:c r="P102" t="str">
        <x:v>R-A</x:v>
      </x:c>
      <x:c r="Q102" s="12" t="n">
        <x:v>3.03</x:v>
      </x:c>
      <x:c r="R102" s="12" t="n">
        <x:v>3.19</x:v>
      </x:c>
      <x:c r="S102" s="12" t="n">
        <x:v>3.4</x:v>
      </x:c>
      <x:c r="T102" s="12" t="n">
        <x:v>3.45</x:v>
      </x:c>
      <x:c r="U102" s="12" t="n">
        <x:v>3.64</x:v>
      </x:c>
      <x:c r="V102" s="12" t="n">
        <x:v>3.27</x:v>
      </x:c>
      <x:c r="W102" s="12" t="n">
        <x:f>ROUND((Q102*0.24)+(R102*0.22)+(S102*0.16)+(T102*0.18)+(U102*0.10)+(V102*0.10),2)</x:f>
        <x:v>3.28</x:v>
      </x:c>
      <x:c r="X102" t="str">
        <x:f>IF(W102&gt;=3.55,"Pass","Fail")</x:f>
        <x:v>Fail</x:v>
      </x:c>
      <x:c r="Y102" t="str">
        <x:v>action starts too late</x:v>
      </x:c>
      <x:c r="Z102" t="str">
        <x:v>Rater note: Too much is being implied. The garden hose and water-heater drain valve are in the scene, but the motion does not demonstrate the actual repair step. The mistake appears late, so a simple thumbnail review would probably miss it. Continuity is useful here, but it cannot replace showing the actual contact point.</x:v>
      </x:c>
      <x:c r="AA102" t="str">
        <x:v>Move safety language earlier in the prompt and remove cinematic camera instructions.</x:v>
      </x:c>
      <x:c r="AB102" t="str">
        <x:v>Low</x:v>
      </x:c>
      <x:c r="AC102" t="str"/>
      <x:c r="AD102" t="str">
        <x:v>Planning dataset only; scores are plausible placeholders, not vendor claims.</x:v>
      </x:c>
    </x:row>
    <x:row r="103">
      <x:c r="A103" t="str">
        <x:v>S017-Vidu-SEQ</x:v>
      </x:c>
      <x:c r="B103" t="str">
        <x:v>S017</x:v>
      </x:c>
      <x:c r="C103" t="str">
        <x:v>Plumbing</x:v>
      </x:c>
      <x:c r="D103" t="str">
        <x:v>water heater</x:v>
      </x:c>
      <x:c r="E103" t="str">
        <x:v>flushing</x:v>
      </x:c>
      <x:c r="F103" t="n">
        <x:v>4</x:v>
      </x:c>
      <x:c r="G103" t="str">
        <x:v>open a water-heater drain valve into a hose</x:v>
      </x:c>
      <x:c r="H103" t="str">
        <x:v>garden hose</x:v>
      </x:c>
      <x:c r="I103" t="str">
        <x:v>water-heater drain valve</x:v>
      </x:c>
      <x:c r="J103" t="str">
        <x:v>Vidu 2.0</x:v>
      </x:c>
      <x:c r="K103" t="str">
        <x:v>Sequential Context</x:v>
      </x:c>
      <x:c r="L103" t="str">
        <x:v>Provides previous and next step for continuity without asking for them to appear.</x:v>
      </x:c>
      <x:c r="M103" t="str">
        <x:v>Close-up realistic instructional DIY video: open a water-heater drain valve into a hose. Show garden hose working on water-heater drain valve. Hands visible, stable camera, no text overlay, neutral shop lighting. This is the middle clip in a sequence. Previous step has already prepared the work area; next step will verify the result. Keep the same workpiece, camera distance, and hand orientation.</x:v>
      </x:c>
      <x:c r="N103" s="14" t="n">
        <x:v>5</x:v>
      </x:c>
      <x:c r="O103" s="14" t="n">
        <x:v>100175</x:v>
      </x:c>
      <x:c r="P103" t="str">
        <x:v>R-B</x:v>
      </x:c>
      <x:c r="Q103" s="12" t="n">
        <x:v>2.91</x:v>
      </x:c>
      <x:c r="R103" s="12" t="n">
        <x:v>3.46</x:v>
      </x:c>
      <x:c r="S103" s="12" t="n">
        <x:v>3.26</x:v>
      </x:c>
      <x:c r="T103" s="12" t="n">
        <x:v>3.47</x:v>
      </x:c>
      <x:c r="U103" s="12" t="n">
        <x:v>3.91</x:v>
      </x:c>
      <x:c r="V103" s="12" t="n">
        <x:v>3.02</x:v>
      </x:c>
      <x:c r="W103" s="12" t="n">
        <x:f>ROUND((Q103*0.24)+(R103*0.22)+(S103*0.16)+(T103*0.18)+(U103*0.10)+(V103*0.10),2)</x:f>
        <x:v>3.3</x:v>
      </x:c>
      <x:c r="X103" t="str">
        <x:f>IF(W103&gt;=3.55,"Pass","Fail")</x:f>
        <x:v>Fail</x:v>
      </x:c>
      <x:c r="Y103" t="str">
        <x:v>action starts too late</x:v>
      </x:c>
      <x:c r="Z103" t="str">
        <x:v>Human check: Too much is being implied. The garden hose and water-heater drain valve are in the scene, but the motion does not demonstrate the actual repair step. I would keep the same camera angle but ask for a tighter view of the contact point. Continuity is useful here, but it cannot replace showing the actual contact point.</x:v>
      </x:c>
      <x:c r="AA103" t="str">
        <x:v>Add a one-sentence end-state requirement: viewer must see the completed flushing result for one full second.</x:v>
      </x:c>
      <x:c r="AB103" t="str">
        <x:v>Medium-High</x:v>
      </x:c>
      <x:c r="AC103" t="str"/>
      <x:c r="AD103" t="str">
        <x:v>Mock rater record for experiment design; audit against real video outputs before publication.</x:v>
      </x:c>
    </x:row>
    <x:row r="104">
      <x:c r="A104" t="str">
        <x:v>S018-Veo-CON</x:v>
      </x:c>
      <x:c r="B104" t="str">
        <x:v>S018</x:v>
      </x:c>
      <x:c r="C104" t="str">
        <x:v>Plumbing</x:v>
      </x:c>
      <x:c r="D104" t="str">
        <x:v>fixture repair</x:v>
      </x:c>
      <x:c r="E104" t="str">
        <x:v>cleaning</x:v>
      </x:c>
      <x:c r="F104" t="n">
        <x:v>2</x:v>
      </x:c>
      <x:c r="G104" t="str">
        <x:v>remove mineral debris from a faucet aerator screen</x:v>
      </x:c>
      <x:c r="H104" t="str">
        <x:v>small brush</x:v>
      </x:c>
      <x:c r="I104" t="str">
        <x:v>aerator screen</x:v>
      </x:c>
      <x:c r="J104" t="str">
        <x:v>Veo 3.1</x:v>
      </x:c>
      <x:c r="K104" t="str">
        <x:v>Constraint-Rich Negative Prompt</x:v>
      </x:c>
      <x:c r="L104" t="str">
        <x:v>Adds concise no-floating-tools/no-extra-objects/no-morphing constraints.</x:v>
      </x:c>
      <x:c r="M104" t="str">
        <x:v>Close-up realistic instructional DIY video: remove mineral debris from a faucet aerator screen. Show small brush working on aerator screen. Hands visible, stable camera, no text overlay, neutral shop lighting. Constraints: no floating tools, no extra tools, no morphing hands, no reversed motion, no impossible deformation, no dramatic camera spin. Keep the full action legible.</x:v>
      </x:c>
      <x:c r="N104" s="14" t="n">
        <x:v>8</x:v>
      </x:c>
      <x:c r="O104" s="14" t="n">
        <x:v>100180</x:v>
      </x:c>
      <x:c r="P104" t="str">
        <x:v>R-E</x:v>
      </x:c>
      <x:c r="Q104" s="12" t="n">
        <x:v>4.94</x:v>
      </x:c>
      <x:c r="R104" s="12" t="n">
        <x:v>4.4</x:v>
      </x:c>
      <x:c r="S104" s="12" t="n">
        <x:v>4.8</x:v>
      </x:c>
      <x:c r="T104" s="12" t="n">
        <x:v>4.83</x:v>
      </x:c>
      <x:c r="U104" s="12" t="n">
        <x:v>4.39</x:v>
      </x:c>
      <x:c r="V104" s="12" t="n">
        <x:v>3.73</x:v>
      </x:c>
      <x:c r="W104" s="12" t="n">
        <x:f>ROUND((Q104*0.24)+(R104*0.22)+(S104*0.16)+(T104*0.18)+(U104*0.10)+(V104*0.10),2)</x:f>
        <x:v>4.6</x:v>
      </x:c>
      <x:c r="X104" t="str">
        <x:f>IF(W104&gt;=3.55,"Pass","Fail")</x:f>
        <x:v>Pass</x:v>
      </x:c>
      <x:c r="Y104" t="str">
        <x:v>minor continuity jump</x:v>
      </x:c>
      <x:c r="Z104" t="str">
        <x:v>Clip review: Good continuity from frame to frame. The small brush makes visual contact with the workpiece and the motion does not feel invented. The prompt should prioritize hand path over cinematic lighting. The negative constraints help, but they do not fully solve the mechanics.</x:v>
      </x:c>
      <x:c r="AA104" t="str">
        <x:v>Specify the exact contact point and do not allow the hand to cover it.</x:v>
      </x:c>
      <x:c r="AB104" t="str">
        <x:v>High</x:v>
      </x:c>
      <x:c r="AC104" t="str"/>
      <x:c r="AD104" t="str">
        <x:v>Mock rater record for experiment design; audit against real video outputs before publication.</x:v>
      </x:c>
    </x:row>
    <x:row r="105">
      <x:c r="A105" t="str">
        <x:v>S018-Sora-CON</x:v>
      </x:c>
      <x:c r="B105" t="str">
        <x:v>S018</x:v>
      </x:c>
      <x:c r="C105" t="str">
        <x:v>Plumbing</x:v>
      </x:c>
      <x:c r="D105" t="str">
        <x:v>fixture repair</x:v>
      </x:c>
      <x:c r="E105" t="str">
        <x:v>cleaning</x:v>
      </x:c>
      <x:c r="F105" t="n">
        <x:v>2</x:v>
      </x:c>
      <x:c r="G105" t="str">
        <x:v>remove mineral debris from a faucet aerator screen</x:v>
      </x:c>
      <x:c r="H105" t="str">
        <x:v>small brush</x:v>
      </x:c>
      <x:c r="I105" t="str">
        <x:v>aerator screen</x:v>
      </x:c>
      <x:c r="J105" t="str">
        <x:v>Sora 2 Pro</x:v>
      </x:c>
      <x:c r="K105" t="str">
        <x:v>Constraint-Rich Negative Prompt</x:v>
      </x:c>
      <x:c r="L105" t="str">
        <x:v>Adds concise no-floating-tools/no-extra-objects/no-morphing constraints.</x:v>
      </x:c>
      <x:c r="M105" t="str">
        <x:v>Close-up realistic instructional DIY video: remove mineral debris from a faucet aerator screen. Show small brush working on aerator screen. Hands visible, stable camera, no text overlay, neutral shop lighting. Constraints: no floating tools, no extra tools, no morphing hands, no reversed motion, no impossible deformation, no dramatic camera spin. Keep the full action legible.</x:v>
      </x:c>
      <x:c r="N105" s="14" t="n">
        <x:v>8</x:v>
      </x:c>
      <x:c r="O105" s="14" t="n">
        <x:v>100181</x:v>
      </x:c>
      <x:c r="P105" t="str">
        <x:v>R-A</x:v>
      </x:c>
      <x:c r="Q105" s="12" t="n">
        <x:v>4.05</x:v>
      </x:c>
      <x:c r="R105" s="12" t="n">
        <x:v>4.47</x:v>
      </x:c>
      <x:c r="S105" s="12" t="n">
        <x:v>3.81</x:v>
      </x:c>
      <x:c r="T105" s="12" t="n">
        <x:v>4.34</x:v>
      </x:c>
      <x:c r="U105" s="12" t="n">
        <x:v>4.46</x:v>
      </x:c>
      <x:c r="V105" s="12" t="n">
        <x:v>4.03</x:v>
      </x:c>
      <x:c r="W105" s="12" t="n">
        <x:f>ROUND((Q105*0.24)+(R105*0.22)+(S105*0.16)+(T105*0.18)+(U105*0.10)+(V105*0.10),2)</x:f>
        <x:v>4.2</x:v>
      </x:c>
      <x:c r="X105" t="str">
        <x:f>IF(W105&gt;=3.55,"Pass","Fail")</x:f>
        <x:v>Pass</x:v>
      </x:c>
      <x:c r="Y105" t="str">
        <x:v>contact point hidden</x:v>
      </x:c>
      <x:c r="Z105" t="str">
        <x:v>Review note: Clear enough for a learner. The workpiece does not wander and the camera stays on the aerator screen; I would still add a freeze or caption after generation. The clip needs a verifier pass before it can enter the training pool. The negative constraints help, but they do not fully solve the mechanics.</x:v>
      </x:c>
      <x:c r="AA105" t="str">
        <x:v>Add a one-sentence end-state requirement: viewer must see the completed cleaning result for one full second.</x:v>
      </x:c>
      <x:c r="AB105" t="str">
        <x:v>High</x:v>
      </x:c>
      <x:c r="AC105" t="str"/>
      <x:c r="AD105" t="str">
        <x:v>Synthetic benchmark entry; generated clip URL should be filled after API run.</x:v>
      </x:c>
    </x:row>
    <x:row r="106">
      <x:c r="A106" t="str">
        <x:v>S018-Runway-CON</x:v>
      </x:c>
      <x:c r="B106" t="str">
        <x:v>S018</x:v>
      </x:c>
      <x:c r="C106" t="str">
        <x:v>Plumbing</x:v>
      </x:c>
      <x:c r="D106" t="str">
        <x:v>fixture repair</x:v>
      </x:c>
      <x:c r="E106" t="str">
        <x:v>cleaning</x:v>
      </x:c>
      <x:c r="F106" t="n">
        <x:v>2</x:v>
      </x:c>
      <x:c r="G106" t="str">
        <x:v>remove mineral debris from a faucet aerator screen</x:v>
      </x:c>
      <x:c r="H106" t="str">
        <x:v>small brush</x:v>
      </x:c>
      <x:c r="I106" t="str">
        <x:v>aerator screen</x:v>
      </x:c>
      <x:c r="J106" t="str">
        <x:v>Runway Gen-4.5</x:v>
      </x:c>
      <x:c r="K106" t="str">
        <x:v>Constraint-Rich Negative Prompt</x:v>
      </x:c>
      <x:c r="L106" t="str">
        <x:v>Adds concise no-floating-tools/no-extra-objects/no-morphing constraints.</x:v>
      </x:c>
      <x:c r="M106" t="str">
        <x:v>Close-up realistic instructional DIY video: remove mineral debris from a faucet aerator screen. Show small brush working on aerator screen. Hands visible, stable camera, no text overlay, neutral shop lighting. Constraints: no floating tools, no extra tools, no morphing hands, no reversed motion, no impossible deformation, no dramatic camera spin. Keep the full action legible.</x:v>
      </x:c>
      <x:c r="N106" s="14" t="n">
        <x:v>5</x:v>
      </x:c>
      <x:c r="O106" s="14" t="n">
        <x:v>100182</x:v>
      </x:c>
      <x:c r="P106" t="str">
        <x:v>R-D</x:v>
      </x:c>
      <x:c r="Q106" s="12" t="n">
        <x:v>4.15</x:v>
      </x:c>
      <x:c r="R106" s="12" t="n">
        <x:v>4.1</x:v>
      </x:c>
      <x:c r="S106" s="12" t="n">
        <x:v>3.91</x:v>
      </x:c>
      <x:c r="T106" s="12" t="n">
        <x:v>4.37</x:v>
      </x:c>
      <x:c r="U106" s="12" t="n">
        <x:v>3.84</x:v>
      </x:c>
      <x:c r="V106" s="12" t="n">
        <x:v>4.16</x:v>
      </x:c>
      <x:c r="W106" s="12" t="n">
        <x:f>ROUND((Q106*0.24)+(R106*0.22)+(S106*0.16)+(T106*0.18)+(U106*0.10)+(V106*0.10),2)</x:f>
        <x:v>4.11</x:v>
      </x:c>
      <x:c r="X106" t="str">
        <x:f>IF(W106&gt;=3.55,"Pass","Fail")</x:f>
        <x:v>Pass</x:v>
      </x:c>
      <x:c r="Y106" t="str">
        <x:v>none</x:v>
      </x:c>
      <x:c r="Z106" t="str">
        <x:v>Clip review: The clip has the right ingredients but not quite the right mechanics. It needs a tighter prompt about grip, contact, and the end position. The clip needs a verifier pass before it can enter the training pool. The negative constraints help, but they do not fully solve the mechanics.</x:v>
      </x:c>
      <x:c r="AA106" t="str">
        <x:v>Specify the exact contact point and do not allow the hand to cover it.</x:v>
      </x:c>
      <x:c r="AB106" t="str">
        <x:v>Medium-High</x:v>
      </x:c>
      <x:c r="AC106" t="str"/>
      <x:c r="AD106" t="str">
        <x:v>Planning dataset only; scores are plausible placeholders, not vendor claims.</x:v>
      </x:c>
    </x:row>
    <x:row r="107">
      <x:c r="A107" t="str">
        <x:v>S018-Kling-CON</x:v>
      </x:c>
      <x:c r="B107" t="str">
        <x:v>S018</x:v>
      </x:c>
      <x:c r="C107" t="str">
        <x:v>Plumbing</x:v>
      </x:c>
      <x:c r="D107" t="str">
        <x:v>fixture repair</x:v>
      </x:c>
      <x:c r="E107" t="str">
        <x:v>cleaning</x:v>
      </x:c>
      <x:c r="F107" t="n">
        <x:v>2</x:v>
      </x:c>
      <x:c r="G107" t="str">
        <x:v>remove mineral debris from a faucet aerator screen</x:v>
      </x:c>
      <x:c r="H107" t="str">
        <x:v>small brush</x:v>
      </x:c>
      <x:c r="I107" t="str">
        <x:v>aerator screen</x:v>
      </x:c>
      <x:c r="J107" t="str">
        <x:v>Kling v3.0 (Replicate)</x:v>
      </x:c>
      <x:c r="K107" t="str">
        <x:v>Constraint-Rich Negative Prompt</x:v>
      </x:c>
      <x:c r="L107" t="str">
        <x:v>Adds concise no-floating-tools/no-extra-objects/no-morphing constraints.</x:v>
      </x:c>
      <x:c r="M107" t="str">
        <x:v>Close-up realistic instructional DIY video: remove mineral debris from a faucet aerator screen. Show small brush working on aerator screen. Hands visible, stable camera, no text overlay, neutral shop lighting. Constraints: no floating tools, no extra tools, no morphing hands, no reversed motion, no impossible deformation, no dramatic camera spin. Keep the full action legible.</x:v>
      </x:c>
      <x:c r="N107" s="14" t="n">
        <x:v>10</x:v>
      </x:c>
      <x:c r="O107" s="14" t="n">
        <x:v>100183</x:v>
      </x:c>
      <x:c r="P107" t="str">
        <x:v>R-A</x:v>
      </x:c>
      <x:c r="Q107" s="12" t="n">
        <x:v>3.34</x:v>
      </x:c>
      <x:c r="R107" s="12" t="n">
        <x:v>4.3</x:v>
      </x:c>
      <x:c r="S107" s="12" t="n">
        <x:v>4.18</x:v>
      </x:c>
      <x:c r="T107" s="12" t="n">
        <x:v>3.78</x:v>
      </x:c>
      <x:c r="U107" s="12" t="n">
        <x:v>3.79</x:v>
      </x:c>
      <x:c r="V107" s="12" t="n">
        <x:v>4.05</x:v>
      </x:c>
      <x:c r="W107" s="12" t="n">
        <x:f>ROUND((Q107*0.24)+(R107*0.22)+(S107*0.16)+(T107*0.18)+(U107*0.10)+(V107*0.10),2)</x:f>
        <x:v>3.88</x:v>
      </x:c>
      <x:c r="X107" t="str">
        <x:f>IF(W107&gt;=3.55,"Pass","Fail")</x:f>
        <x:v>Pass</x:v>
      </x:c>
      <x:c r="Y107" t="str">
        <x:v>motion slightly compressed</x:v>
      </x:c>
      <x:c r="Z107" t="str">
        <x:v>Review note: I would keep this as a rough candidate. It communicates the step, although the failure mode makes it weaker than a real sourced clip: motion slightly compressed. The most important fix is to show the before-and-after state without a cut. The negative constraints help, but they do not fully solve the mechanics.</x:v>
      </x:c>
      <x:c r="AA107" t="str">
        <x:v>Ask for a static close-up and require the small brush to touch the aerator screen before any motion starts.</x:v>
      </x:c>
      <x:c r="AB107" t="str">
        <x:v>Medium-High</x:v>
      </x:c>
      <x:c r="AC107" t="str"/>
      <x:c r="AD107" t="str">
        <x:v>Mock rater record for experiment design; audit against real video outputs before publication.</x:v>
      </x:c>
    </x:row>
    <x:row r="108">
      <x:c r="A108" t="str">
        <x:v>S018-Pika-CON</x:v>
      </x:c>
      <x:c r="B108" t="str">
        <x:v>S018</x:v>
      </x:c>
      <x:c r="C108" t="str">
        <x:v>Plumbing</x:v>
      </x:c>
      <x:c r="D108" t="str">
        <x:v>fixture repair</x:v>
      </x:c>
      <x:c r="E108" t="str">
        <x:v>cleaning</x:v>
      </x:c>
      <x:c r="F108" t="n">
        <x:v>2</x:v>
      </x:c>
      <x:c r="G108" t="str">
        <x:v>remove mineral debris from a faucet aerator screen</x:v>
      </x:c>
      <x:c r="H108" t="str">
        <x:v>small brush</x:v>
      </x:c>
      <x:c r="I108" t="str">
        <x:v>aerator screen</x:v>
      </x:c>
      <x:c r="J108" t="str">
        <x:v>Pika 2.2</x:v>
      </x:c>
      <x:c r="K108" t="str">
        <x:v>Constraint-Rich Negative Prompt</x:v>
      </x:c>
      <x:c r="L108" t="str">
        <x:v>Adds concise no-floating-tools/no-extra-objects/no-morphing constraints.</x:v>
      </x:c>
      <x:c r="M108" t="str">
        <x:v>Close-up realistic instructional DIY video: remove mineral debris from a faucet aerator screen. Show small brush working on aerator screen. Hands visible, stable camera, no text overlay, neutral shop lighting. Constraints: no floating tools, no extra tools, no morphing hands, no reversed motion, no impossible deformation, no dramatic camera spin. Keep the full action legible.</x:v>
      </x:c>
      <x:c r="N108" s="14" t="n">
        <x:v>5</x:v>
      </x:c>
      <x:c r="O108" s="14" t="n">
        <x:v>100184</x:v>
      </x:c>
      <x:c r="P108" t="str">
        <x:v>R-E</x:v>
      </x:c>
      <x:c r="Q108" s="12" t="n">
        <x:v>3.81</x:v>
      </x:c>
      <x:c r="R108" s="12" t="n">
        <x:v>3.63</x:v>
      </x:c>
      <x:c r="S108" s="12" t="n">
        <x:v>3.32</x:v>
      </x:c>
      <x:c r="T108" s="12" t="n">
        <x:v>3.49</x:v>
      </x:c>
      <x:c r="U108" s="12" t="n">
        <x:v>4.29</x:v>
      </x:c>
      <x:c r="V108" s="12" t="n">
        <x:v>3.45</x:v>
      </x:c>
      <x:c r="W108" s="12" t="n">
        <x:f>ROUND((Q108*0.24)+(R108*0.22)+(S108*0.16)+(T108*0.18)+(U108*0.10)+(V108*0.10),2)</x:f>
        <x:v>3.65</x:v>
      </x:c>
      <x:c r="X108" t="str">
        <x:f>IF(W108&gt;=3.55,"Pass","Fail")</x:f>
        <x:v>Pass</x:v>
      </x:c>
      <x:c r="Y108" t="str">
        <x:v>object morphs</x:v>
      </x:c>
      <x:c r="Z108" t="str">
        <x:v>QA note: The intention is clear, especially if you already know the step. A novice might miss the key detail because this issue appears right where the action should be most explicit: object morphs. This reads better as a teaser than as an instructional clip. The negative constraints help, but they do not fully solve the mechanics.</x:v>
      </x:c>
      <x:c r="AA108" t="str">
        <x:v>Break the action into start, contact, movement, and finish; ban extra tools and hand morphing.</x:v>
      </x:c>
      <x:c r="AB108" t="str">
        <x:v>Medium</x:v>
      </x:c>
      <x:c r="AC108" t="str"/>
      <x:c r="AD108" t="str">
        <x:v>Planning dataset only; scores are plausible placeholders, not vendor claims.</x:v>
      </x:c>
    </x:row>
    <x:row r="109">
      <x:c r="A109" t="str">
        <x:v>S018-Vidu-CON</x:v>
      </x:c>
      <x:c r="B109" t="str">
        <x:v>S018</x:v>
      </x:c>
      <x:c r="C109" t="str">
        <x:v>Plumbing</x:v>
      </x:c>
      <x:c r="D109" t="str">
        <x:v>fixture repair</x:v>
      </x:c>
      <x:c r="E109" t="str">
        <x:v>cleaning</x:v>
      </x:c>
      <x:c r="F109" t="n">
        <x:v>2</x:v>
      </x:c>
      <x:c r="G109" t="str">
        <x:v>remove mineral debris from a faucet aerator screen</x:v>
      </x:c>
      <x:c r="H109" t="str">
        <x:v>small brush</x:v>
      </x:c>
      <x:c r="I109" t="str">
        <x:v>aerator screen</x:v>
      </x:c>
      <x:c r="J109" t="str">
        <x:v>Vidu 2.0</x:v>
      </x:c>
      <x:c r="K109" t="str">
        <x:v>Constraint-Rich Negative Prompt</x:v>
      </x:c>
      <x:c r="L109" t="str">
        <x:v>Adds concise no-floating-tools/no-extra-objects/no-morphing constraints.</x:v>
      </x:c>
      <x:c r="M109" t="str">
        <x:v>Close-up realistic instructional DIY video: remove mineral debris from a faucet aerator screen. Show small brush working on aerator screen. Hands visible, stable camera, no text overlay, neutral shop lighting. Constraints: no floating tools, no extra tools, no morphing hands, no reversed motion, no impossible deformation, no dramatic camera spin. Keep the full action legible.</x:v>
      </x:c>
      <x:c r="N109" s="14" t="n">
        <x:v>5</x:v>
      </x:c>
      <x:c r="O109" s="14" t="n">
        <x:v>100185</x:v>
      </x:c>
      <x:c r="P109" t="str">
        <x:v>R-B</x:v>
      </x:c>
      <x:c r="Q109" s="12" t="n">
        <x:v>3.19</x:v>
      </x:c>
      <x:c r="R109" s="12" t="n">
        <x:v>3.37</x:v>
      </x:c>
      <x:c r="S109" s="12" t="n">
        <x:v>3.43</x:v>
      </x:c>
      <x:c r="T109" s="12" t="n">
        <x:v>3.17</x:v>
      </x:c>
      <x:c r="U109" s="12" t="n">
        <x:v>3.82</x:v>
      </x:c>
      <x:c r="V109" s="12" t="n">
        <x:v>3.22</x:v>
      </x:c>
      <x:c r="W109" s="12" t="n">
        <x:f>ROUND((Q109*0.24)+(R109*0.22)+(S109*0.16)+(T109*0.18)+(U109*0.10)+(V109*0.10),2)</x:f>
        <x:v>3.33</x:v>
      </x:c>
      <x:c r="X109" t="str">
        <x:f>IF(W109&gt;=3.55,"Pass","Fail")</x:f>
        <x:v>Fail</x:v>
      </x:c>
      <x:c r="Y109" t="str">
        <x:v>tool floats near object</x:v>
      </x:c>
      <x:c r="Z109" t="str">
        <x:v>Rater note: This should fail the instructional bar. The model gestures toward the task, but the failure mode prevents a learner from trusting the technique: tool floats near object. This reads better as a teaser than as an instructional clip. The negative constraints help, but they do not fully solve the mechanics.</x:v>
      </x:c>
      <x:c r="AA109" t="str">
        <x:v>Add a one-sentence end-state requirement: viewer must see the completed cleaning result for one full second.</x:v>
      </x:c>
      <x:c r="AB109" t="str">
        <x:v>Low</x:v>
      </x:c>
      <x:c r="AC109" t="str"/>
      <x:c r="AD109" t="str">
        <x:v>Planning dataset only; scores are plausible placeholders, not vendor claims.</x:v>
      </x:c>
    </x:row>
    <x:row r="110">
      <x:c r="A110" t="str">
        <x:v>S019-Veo-DIR</x:v>
      </x:c>
      <x:c r="B110" t="str">
        <x:v>S019</x:v>
      </x:c>
      <x:c r="C110" t="str">
        <x:v>Plumbing</x:v>
      </x:c>
      <x:c r="D110" t="str">
        <x:v>pipe fitting</x:v>
      </x:c>
      <x:c r="E110" t="str">
        <x:v>marking</x:v>
      </x:c>
      <x:c r="F110" t="n">
        <x:v>2</x:v>
      </x:c>
      <x:c r="G110" t="str">
        <x:v>mark insertion depth on a push-fit copper connection</x:v>
      </x:c>
      <x:c r="H110" t="str">
        <x:v>permanent marker</x:v>
      </x:c>
      <x:c r="I110" t="str">
        <x:v>push-fit fitting, copper pipe</x:v>
      </x:c>
      <x:c r="J110" t="str">
        <x:v>Veo 3.1</x:v>
      </x:c>
      <x:c r="K110" t="str">
        <x:v>Direct Natural Language</x:v>
      </x:c>
      <x:c r="L110" t="str">
        <x:v>Baseline wording only; no explicit decomposition.</x:v>
      </x:c>
      <x:c r="M110" t="str">
        <x:v>Close-up realistic instructional DIY video: mark insertion depth on a push-fit copper connection. Show permanent marker working on push-fit fitting, copper pipe. Hands visible, stable camera, no text overlay, neutral shop lighting.</x:v>
      </x:c>
      <x:c r="N110" s="14" t="n">
        <x:v>8</x:v>
      </x:c>
      <x:c r="O110" s="14" t="n">
        <x:v>100190</x:v>
      </x:c>
      <x:c r="P110" t="str">
        <x:v>R-A</x:v>
      </x:c>
      <x:c r="Q110" s="12" t="n">
        <x:v>4.14</x:v>
      </x:c>
      <x:c r="R110" s="12" t="n">
        <x:v>4.2</x:v>
      </x:c>
      <x:c r="S110" s="12" t="n">
        <x:v>3.55</x:v>
      </x:c>
      <x:c r="T110" s="12" t="n">
        <x:v>3.96</x:v>
      </x:c>
      <x:c r="U110" s="12" t="n">
        <x:v>4.51</x:v>
      </x:c>
      <x:c r="V110" s="12" t="n">
        <x:v>4.46</x:v>
      </x:c>
      <x:c r="W110" s="12" t="n">
        <x:f>ROUND((Q110*0.24)+(R110*0.22)+(S110*0.16)+(T110*0.18)+(U110*0.10)+(V110*0.10),2)</x:f>
        <x:v>4.1</x:v>
      </x:c>
      <x:c r="X110" t="str">
        <x:f>IF(W110&gt;=3.55,"Pass","Fail")</x:f>
        <x:v>Pass</x:v>
      </x:c>
      <x:c r="Y110" t="str">
        <x:v>endpoint not visible</x:v>
      </x:c>
      <x:c r="Z110" t="str">
        <x:v>Rater note: Looks plausible at first glance. On a second pass, the push-fit fitting, copper pipe shifts slightly and the model seems to infer the outcome rather than show the full marking. This would be safer as a reference-aided run than a text-only run. For this plumbing example, the main judgment is still whether the viewer can copy the motion.</x:v>
      </x:c>
      <x:c r="AA110" t="str">
        <x:v>Break the action into start, contact, movement, and finish; ban extra tools and hand morphing.</x:v>
      </x:c>
      <x:c r="AB110" t="str">
        <x:v>Medium-High</x:v>
      </x:c>
      <x:c r="AC110" t="str"/>
      <x:c r="AD110" t="str">
        <x:v>Planning dataset only; scores are plausible placeholders, not vendor claims.</x:v>
      </x:c>
    </x:row>
    <x:row r="111">
      <x:c r="A111" t="str">
        <x:v>S019-Sora-DIR</x:v>
      </x:c>
      <x:c r="B111" t="str">
        <x:v>S019</x:v>
      </x:c>
      <x:c r="C111" t="str">
        <x:v>Plumbing</x:v>
      </x:c>
      <x:c r="D111" t="str">
        <x:v>pipe fitting</x:v>
      </x:c>
      <x:c r="E111" t="str">
        <x:v>marking</x:v>
      </x:c>
      <x:c r="F111" t="n">
        <x:v>2</x:v>
      </x:c>
      <x:c r="G111" t="str">
        <x:v>mark insertion depth on a push-fit copper connection</x:v>
      </x:c>
      <x:c r="H111" t="str">
        <x:v>permanent marker</x:v>
      </x:c>
      <x:c r="I111" t="str">
        <x:v>push-fit fitting, copper pipe</x:v>
      </x:c>
      <x:c r="J111" t="str">
        <x:v>Sora 2 Pro</x:v>
      </x:c>
      <x:c r="K111" t="str">
        <x:v>Direct Natural Language</x:v>
      </x:c>
      <x:c r="L111" t="str">
        <x:v>Baseline wording only; no explicit decomposition.</x:v>
      </x:c>
      <x:c r="M111" t="str">
        <x:v>Close-up realistic instructional DIY video: mark insertion depth on a push-fit copper connection. Show permanent marker working on push-fit fitting, copper pipe. Hands visible, stable camera, no text overlay, neutral shop lighting.</x:v>
      </x:c>
      <x:c r="N111" s="14" t="n">
        <x:v>8</x:v>
      </x:c>
      <x:c r="O111" s="14" t="n">
        <x:v>100191</x:v>
      </x:c>
      <x:c r="P111" t="str">
        <x:v>R-A</x:v>
      </x:c>
      <x:c r="Q111" s="12" t="n">
        <x:v>3.81</x:v>
      </x:c>
      <x:c r="R111" s="12" t="n">
        <x:v>4.04</x:v>
      </x:c>
      <x:c r="S111" s="12" t="n">
        <x:v>4.57</x:v>
      </x:c>
      <x:c r="T111" s="12" t="n">
        <x:v>4.27</x:v>
      </x:c>
      <x:c r="U111" s="12" t="n">
        <x:v>4.11</x:v>
      </x:c>
      <x:c r="V111" s="12" t="n">
        <x:v>3.94</x:v>
      </x:c>
      <x:c r="W111" s="12" t="n">
        <x:f>ROUND((Q111*0.24)+(R111*0.22)+(S111*0.16)+(T111*0.18)+(U111*0.10)+(V111*0.10),2)</x:f>
        <x:v>4.11</x:v>
      </x:c>
      <x:c r="X111" t="str">
        <x:f>IF(W111&gt;=3.55,"Pass","Fail")</x:f>
        <x:v>Pass</x:v>
      </x:c>
      <x:c r="Y111" t="str">
        <x:v>tool pose a little soft</x:v>
      </x:c>
      <x:c r="Z111" t="str">
        <x:v>Clip review: The clip has the right ingredients but not quite the right mechanics. It needs a tighter prompt about grip, contact, and the end position. The prompt should prioritize hand path over cinematic lighting. For this plumbing example, the main judgment is still whether the viewer can copy the motion.</x:v>
      </x:c>
      <x:c r="AA111" t="str">
        <x:v>Use sequential context only for continuity, not for adding previous/next steps into the frame.</x:v>
      </x:c>
      <x:c r="AB111" t="str">
        <x:v>Medium</x:v>
      </x:c>
      <x:c r="AC111" t="str"/>
      <x:c r="AD111" t="str">
        <x:v>Planning dataset only; scores are plausible placeholders, not vendor claims.</x:v>
      </x:c>
    </x:row>
    <x:row r="112">
      <x:c r="A112" t="str">
        <x:v>S019-Runway-DIR</x:v>
      </x:c>
      <x:c r="B112" t="str">
        <x:v>S019</x:v>
      </x:c>
      <x:c r="C112" t="str">
        <x:v>Plumbing</x:v>
      </x:c>
      <x:c r="D112" t="str">
        <x:v>pipe fitting</x:v>
      </x:c>
      <x:c r="E112" t="str">
        <x:v>marking</x:v>
      </x:c>
      <x:c r="F112" t="n">
        <x:v>2</x:v>
      </x:c>
      <x:c r="G112" t="str">
        <x:v>mark insertion depth on a push-fit copper connection</x:v>
      </x:c>
      <x:c r="H112" t="str">
        <x:v>permanent marker</x:v>
      </x:c>
      <x:c r="I112" t="str">
        <x:v>push-fit fitting, copper pipe</x:v>
      </x:c>
      <x:c r="J112" t="str">
        <x:v>Runway Gen-4.5</x:v>
      </x:c>
      <x:c r="K112" t="str">
        <x:v>Direct Natural Language</x:v>
      </x:c>
      <x:c r="L112" t="str">
        <x:v>Baseline wording only; no explicit decomposition.</x:v>
      </x:c>
      <x:c r="M112" t="str">
        <x:v>Close-up realistic instructional DIY video: mark insertion depth on a push-fit copper connection. Show permanent marker working on push-fit fitting, copper pipe. Hands visible, stable camera, no text overlay, neutral shop lighting.</x:v>
      </x:c>
      <x:c r="N112" s="14" t="n">
        <x:v>5</x:v>
      </x:c>
      <x:c r="O112" s="14" t="n">
        <x:v>100192</x:v>
      </x:c>
      <x:c r="P112" t="str">
        <x:v>R-B</x:v>
      </x:c>
      <x:c r="Q112" s="12" t="n">
        <x:v>4.45</x:v>
      </x:c>
      <x:c r="R112" s="12" t="n">
        <x:v>3.91</x:v>
      </x:c>
      <x:c r="S112" s="12" t="n">
        <x:v>3.91</x:v>
      </x:c>
      <x:c r="T112" s="12" t="n">
        <x:v>4.39</x:v>
      </x:c>
      <x:c r="U112" s="12" t="n">
        <x:v>4.35</x:v>
      </x:c>
      <x:c r="V112" s="12" t="n">
        <x:v>3.89</x:v>
      </x:c>
      <x:c r="W112" s="12" t="n">
        <x:f>ROUND((Q112*0.24)+(R112*0.22)+(S112*0.16)+(T112*0.18)+(U112*0.10)+(V112*0.10),2)</x:f>
        <x:v>4.17</x:v>
      </x:c>
      <x:c r="X112" t="str">
        <x:f>IF(W112&gt;=3.55,"Pass","Fail")</x:f>
        <x:v>Pass</x:v>
      </x:c>
      <x:c r="Y112" t="str">
        <x:v>endpoint not visible</x:v>
      </x:c>
      <x:c r="Z112" t="str">
        <x:v>QA note: The clip feels like a usable shop-demo take. I can see the hand position and the push-fit fitting, copper pipe; it just needs a slightly longer hold on the final state. This would be safer as a reference-aided run than a text-only run. For this plumbing example, the main judgment is still whether the viewer can copy the motion.</x:v>
      </x:c>
      <x:c r="AA112" t="str">
        <x:v>Add a one-sentence end-state requirement: viewer must see the completed marking result for one full second.</x:v>
      </x:c>
      <x:c r="AB112" t="str">
        <x:v>High</x:v>
      </x:c>
      <x:c r="AC112" t="str"/>
      <x:c r="AD112" t="str">
        <x:v>Simulated pilot row for planning; replace with blinded ratings after generating actual clips.</x:v>
      </x:c>
    </x:row>
    <x:row r="113">
      <x:c r="A113" t="str">
        <x:v>S019-Kling-DIR</x:v>
      </x:c>
      <x:c r="B113" t="str">
        <x:v>S019</x:v>
      </x:c>
      <x:c r="C113" t="str">
        <x:v>Plumbing</x:v>
      </x:c>
      <x:c r="D113" t="str">
        <x:v>pipe fitting</x:v>
      </x:c>
      <x:c r="E113" t="str">
        <x:v>marking</x:v>
      </x:c>
      <x:c r="F113" t="n">
        <x:v>2</x:v>
      </x:c>
      <x:c r="G113" t="str">
        <x:v>mark insertion depth on a push-fit copper connection</x:v>
      </x:c>
      <x:c r="H113" t="str">
        <x:v>permanent marker</x:v>
      </x:c>
      <x:c r="I113" t="str">
        <x:v>push-fit fitting, copper pipe</x:v>
      </x:c>
      <x:c r="J113" t="str">
        <x:v>Kling v3.0 (Replicate)</x:v>
      </x:c>
      <x:c r="K113" t="str">
        <x:v>Direct Natural Language</x:v>
      </x:c>
      <x:c r="L113" t="str">
        <x:v>Baseline wording only; no explicit decomposition.</x:v>
      </x:c>
      <x:c r="M113" t="str">
        <x:v>Close-up realistic instructional DIY video: mark insertion depth on a push-fit copper connection. Show permanent marker working on push-fit fitting, copper pipe. Hands visible, stable camera, no text overlay, neutral shop lighting.</x:v>
      </x:c>
      <x:c r="N113" s="14" t="n">
        <x:v>10</x:v>
      </x:c>
      <x:c r="O113" s="14" t="n">
        <x:v>100193</x:v>
      </x:c>
      <x:c r="P113" t="str">
        <x:v>R-A</x:v>
      </x:c>
      <x:c r="Q113" s="12" t="n">
        <x:v>4</x:v>
      </x:c>
      <x:c r="R113" s="12" t="n">
        <x:v>3.96</x:v>
      </x:c>
      <x:c r="S113" s="12" t="n">
        <x:v>4.27</x:v>
      </x:c>
      <x:c r="T113" s="12" t="n">
        <x:v>3.53</x:v>
      </x:c>
      <x:c r="U113" s="12" t="n">
        <x:v>3.95</x:v>
      </x:c>
      <x:c r="V113" s="12" t="n">
        <x:v>3.85</x:v>
      </x:c>
      <x:c r="W113" s="12" t="n">
        <x:f>ROUND((Q113*0.24)+(R113*0.22)+(S113*0.16)+(T113*0.18)+(U113*0.10)+(V113*0.10),2)</x:f>
        <x:v>3.93</x:v>
      </x:c>
      <x:c r="X113" t="str">
        <x:f>IF(W113&gt;=3.55,"Pass","Fail")</x:f>
        <x:v>Pass</x:v>
      </x:c>
      <x:c r="Y113" t="str">
        <x:v>motion slightly compressed</x:v>
      </x:c>
      <x:c r="Z113" t="str">
        <x:v>Human check: I would keep this as a rough candidate. It communicates the step, although the failure mode makes it weaker than a real sourced clip: motion slightly compressed. The clip needs a verifier pass before it can enter the training pool. For this plumbing example, the main judgment is still whether the viewer can copy the motion.</x:v>
      </x:c>
      <x:c r="AA113" t="str">
        <x:v>Ask for a static close-up and require the permanent marker to touch the push-fit fitting, copper pipe before any motion starts.</x:v>
      </x:c>
      <x:c r="AB113" t="str">
        <x:v>High</x:v>
      </x:c>
      <x:c r="AC113" t="str"/>
      <x:c r="AD113" t="str">
        <x:v>Mock rater record for experiment design; audit against real video outputs before publication.</x:v>
      </x:c>
    </x:row>
    <x:row r="114">
      <x:c r="A114" t="str">
        <x:v>S019-Pika-DIR</x:v>
      </x:c>
      <x:c r="B114" t="str">
        <x:v>S019</x:v>
      </x:c>
      <x:c r="C114" t="str">
        <x:v>Plumbing</x:v>
      </x:c>
      <x:c r="D114" t="str">
        <x:v>pipe fitting</x:v>
      </x:c>
      <x:c r="E114" t="str">
        <x:v>marking</x:v>
      </x:c>
      <x:c r="F114" t="n">
        <x:v>2</x:v>
      </x:c>
      <x:c r="G114" t="str">
        <x:v>mark insertion depth on a push-fit copper connection</x:v>
      </x:c>
      <x:c r="H114" t="str">
        <x:v>permanent marker</x:v>
      </x:c>
      <x:c r="I114" t="str">
        <x:v>push-fit fitting, copper pipe</x:v>
      </x:c>
      <x:c r="J114" t="str">
        <x:v>Pika 2.2</x:v>
      </x:c>
      <x:c r="K114" t="str">
        <x:v>Direct Natural Language</x:v>
      </x:c>
      <x:c r="L114" t="str">
        <x:v>Baseline wording only; no explicit decomposition.</x:v>
      </x:c>
      <x:c r="M114" t="str">
        <x:v>Close-up realistic instructional DIY video: mark insertion depth on a push-fit copper connection. Show permanent marker working on push-fit fitting, copper pipe. Hands visible, stable camera, no text overlay, neutral shop lighting.</x:v>
      </x:c>
      <x:c r="N114" s="14" t="n">
        <x:v>5</x:v>
      </x:c>
      <x:c r="O114" s="14" t="n">
        <x:v>100194</x:v>
      </x:c>
      <x:c r="P114" t="str">
        <x:v>R-D</x:v>
      </x:c>
      <x:c r="Q114" s="12" t="n">
        <x:v>3.21</x:v>
      </x:c>
      <x:c r="R114" s="12" t="n">
        <x:v>3.71</x:v>
      </x:c>
      <x:c r="S114" s="12" t="n">
        <x:v>3.52</x:v>
      </x:c>
      <x:c r="T114" s="12" t="n">
        <x:v>3.65</x:v>
      </x:c>
      <x:c r="U114" s="12" t="n">
        <x:v>3.31</x:v>
      </x:c>
      <x:c r="V114" s="12" t="n">
        <x:v>3.53</x:v>
      </x:c>
      <x:c r="W114" s="12" t="n">
        <x:f>ROUND((Q114*0.24)+(R114*0.22)+(S114*0.16)+(T114*0.18)+(U114*0.10)+(V114*0.10),2)</x:f>
        <x:v>3.49</x:v>
      </x:c>
      <x:c r="X114" t="str">
        <x:f>IF(W114&gt;=3.55,"Pass","Fail")</x:f>
        <x:v>Fail</x:v>
      </x:c>
      <x:c r="Y114" t="str">
        <x:v>camera blocks work</x:v>
      </x:c>
      <x:c r="Z114" t="str">
        <x:v>Review note: The generated clip loses the procedure. I would re-run with a reference frame and a stricter Action-Object-Tool prompt. This would be safer as a reference-aided run than a text-only run. The baseline prompt is likely under-specifying the tool path.</x:v>
      </x:c>
      <x:c r="AA114" t="str">
        <x:v>Use a reference image for the permanent marker and specify its grip/orientation in plain language.</x:v>
      </x:c>
      <x:c r="AB114" t="str">
        <x:v>Medium-High</x:v>
      </x:c>
      <x:c r="AC114" t="str"/>
      <x:c r="AD114" t="str">
        <x:v>Synthetic benchmark entry; generated clip URL should be filled after API run.</x:v>
      </x:c>
    </x:row>
    <x:row r="115">
      <x:c r="A115" t="str">
        <x:v>S019-Vidu-DIR</x:v>
      </x:c>
      <x:c r="B115" t="str">
        <x:v>S019</x:v>
      </x:c>
      <x:c r="C115" t="str">
        <x:v>Plumbing</x:v>
      </x:c>
      <x:c r="D115" t="str">
        <x:v>pipe fitting</x:v>
      </x:c>
      <x:c r="E115" t="str">
        <x:v>marking</x:v>
      </x:c>
      <x:c r="F115" t="n">
        <x:v>2</x:v>
      </x:c>
      <x:c r="G115" t="str">
        <x:v>mark insertion depth on a push-fit copper connection</x:v>
      </x:c>
      <x:c r="H115" t="str">
        <x:v>permanent marker</x:v>
      </x:c>
      <x:c r="I115" t="str">
        <x:v>push-fit fitting, copper pipe</x:v>
      </x:c>
      <x:c r="J115" t="str">
        <x:v>Vidu 2.0</x:v>
      </x:c>
      <x:c r="K115" t="str">
        <x:v>Direct Natural Language</x:v>
      </x:c>
      <x:c r="L115" t="str">
        <x:v>Baseline wording only; no explicit decomposition.</x:v>
      </x:c>
      <x:c r="M115" t="str">
        <x:v>Close-up realistic instructional DIY video: mark insertion depth on a push-fit copper connection. Show permanent marker working on push-fit fitting, copper pipe. Hands visible, stable camera, no text overlay, neutral shop lighting.</x:v>
      </x:c>
      <x:c r="N115" s="14" t="n">
        <x:v>5</x:v>
      </x:c>
      <x:c r="O115" s="14" t="n">
        <x:v>100195</x:v>
      </x:c>
      <x:c r="P115" t="str">
        <x:v>R-B</x:v>
      </x:c>
      <x:c r="Q115" s="12" t="n">
        <x:v>3.31</x:v>
      </x:c>
      <x:c r="R115" s="12" t="n">
        <x:v>3.48</x:v>
      </x:c>
      <x:c r="S115" s="12" t="n">
        <x:v>2.82</x:v>
      </x:c>
      <x:c r="T115" s="12" t="n">
        <x:v>3.24</x:v>
      </x:c>
      <x:c r="U115" s="12" t="n">
        <x:v>3.37</x:v>
      </x:c>
      <x:c r="V115" s="12" t="n">
        <x:v>3.18</x:v>
      </x:c>
      <x:c r="W115" s="12" t="n">
        <x:f>ROUND((Q115*0.24)+(R115*0.22)+(S115*0.16)+(T115*0.18)+(U115*0.10)+(V115*0.10),2)</x:f>
        <x:v>3.25</x:v>
      </x:c>
      <x:c r="X115" t="str">
        <x:f>IF(W115&gt;=3.55,"Pass","Fail")</x:f>
        <x:v>Fail</x:v>
      </x:c>
      <x:c r="Y115" t="str">
        <x:v>missing contact point</x:v>
      </x:c>
      <x:c r="Z115" t="str">
        <x:v>Review note: Too much is being implied. The permanent marker and push-fit fitting, copper pipe are in the scene, but the motion does not demonstrate the actual repair step. On a small preview it might pass, but full-screen review exposes the issue. The baseline prompt is likely under-specifying the tool path.</x:v>
      </x:c>
      <x:c r="AA115" t="str">
        <x:v>Add a one-sentence end-state requirement: viewer must see the completed marking result for one full second.</x:v>
      </x:c>
      <x:c r="AB115" t="str">
        <x:v>Medium-High</x:v>
      </x:c>
      <x:c r="AC115" t="str"/>
      <x:c r="AD115" t="str">
        <x:v>Mock rater record for experiment design; audit against real video outputs before publication.</x:v>
      </x:c>
    </x:row>
    <x:row r="116">
      <x:c r="A116" t="str">
        <x:v>S020-Veo-STR</x:v>
      </x:c>
      <x:c r="B116" t="str">
        <x:v>S020</x:v>
      </x:c>
      <x:c r="C116" t="str">
        <x:v>Plumbing</x:v>
      </x:c>
      <x:c r="D116" t="str">
        <x:v>sealant</x:v>
      </x:c>
      <x:c r="E116" t="str">
        <x:v>applying</x:v>
      </x:c>
      <x:c r="F116" t="n">
        <x:v>3</x:v>
      </x:c>
      <x:c r="G116" t="str">
        <x:v>apply plumber's putty around a sink basket flange</x:v>
      </x:c>
      <x:c r="H116" t="str">
        <x:v>putty rope</x:v>
      </x:c>
      <x:c r="I116" t="str">
        <x:v>sink basket flange</x:v>
      </x:c>
      <x:c r="J116" t="str">
        <x:v>Veo 3.1</x:v>
      </x:c>
      <x:c r="K116" t="str">
        <x:v>Structured Action-Object-Tool</x:v>
      </x:c>
      <x:c r="L116" t="str">
        <x:v>Action, tool, object, grip, contact point, start/end states.</x:v>
      </x:c>
      <x:c r="M116" t="str">
        <x:v>Close-up realistic instructional DIY video: apply plumber's putty around a sink basket flange. Show putty rope working on sink basket flange. Hands visible, stable camera, no text overlay, neutral shop lighting. Action=applying; tool=putty rope; object/material=sink basket flange; show tool-to-object contact; start state, motion, and finished state all visible.</x:v>
      </x:c>
      <x:c r="N116" s="14" t="n">
        <x:v>8</x:v>
      </x:c>
      <x:c r="O116" s="14" t="n">
        <x:v>100200</x:v>
      </x:c>
      <x:c r="P116" t="str">
        <x:v>R-D</x:v>
      </x:c>
      <x:c r="Q116" s="12" t="n">
        <x:v>4.08</x:v>
      </x:c>
      <x:c r="R116" s="12" t="n">
        <x:v>4.76</x:v>
      </x:c>
      <x:c r="S116" s="12" t="n">
        <x:v>3.98</x:v>
      </x:c>
      <x:c r="T116" s="12" t="n">
        <x:v>3.81</x:v>
      </x:c>
      <x:c r="U116" s="12" t="n">
        <x:v>4.07</x:v>
      </x:c>
      <x:c r="V116" s="12" t="n">
        <x:v>4.07</x:v>
      </x:c>
      <x:c r="W116" s="12" t="n">
        <x:f>ROUND((Q116*0.24)+(R116*0.22)+(S116*0.16)+(T116*0.18)+(U116*0.10)+(V116*0.10),2)</x:f>
        <x:v>4.16</x:v>
      </x:c>
      <x:c r="X116" t="str">
        <x:f>IF(W116&gt;=3.55,"Pass","Fail")</x:f>
        <x:v>Pass</x:v>
      </x:c>
      <x:c r="Y116" t="str">
        <x:v>endpoint not visible</x:v>
      </x:c>
      <x:c r="Z116" t="str">
        <x:v>Human check: This one would probably pass a quick review. The putty rope stays believable, the start and end states are easy to read, and the only nit is that occasional extra hand. The next prompt should slow the final second instead of adding more scene detail. For this plumbing example, the main judgment is still whether the viewer can copy the motion.</x:v>
      </x:c>
      <x:c r="AA116" t="str">
        <x:v>Add a one-sentence end-state requirement: viewer must see the completed applying result for one full second.</x:v>
      </x:c>
      <x:c r="AB116" t="str">
        <x:v>Medium</x:v>
      </x:c>
      <x:c r="AC116" t="str"/>
      <x:c r="AD116" t="str">
        <x:v>Synthetic benchmark entry; generated clip URL should be filled after API run.</x:v>
      </x:c>
    </x:row>
    <x:row r="117">
      <x:c r="A117" t="str">
        <x:v>S020-Sora-STR</x:v>
      </x:c>
      <x:c r="B117" t="str">
        <x:v>S020</x:v>
      </x:c>
      <x:c r="C117" t="str">
        <x:v>Plumbing</x:v>
      </x:c>
      <x:c r="D117" t="str">
        <x:v>sealant</x:v>
      </x:c>
      <x:c r="E117" t="str">
        <x:v>applying</x:v>
      </x:c>
      <x:c r="F117" t="n">
        <x:v>3</x:v>
      </x:c>
      <x:c r="G117" t="str">
        <x:v>apply plumber's putty around a sink basket flange</x:v>
      </x:c>
      <x:c r="H117" t="str">
        <x:v>putty rope</x:v>
      </x:c>
      <x:c r="I117" t="str">
        <x:v>sink basket flange</x:v>
      </x:c>
      <x:c r="J117" t="str">
        <x:v>Sora 2 Pro</x:v>
      </x:c>
      <x:c r="K117" t="str">
        <x:v>Structured Action-Object-Tool</x:v>
      </x:c>
      <x:c r="L117" t="str">
        <x:v>Action, tool, object, grip, contact point, start/end states.</x:v>
      </x:c>
      <x:c r="M117" t="str">
        <x:v>Close-up realistic instructional DIY video: apply plumber's putty around a sink basket flange. Show putty rope working on sink basket flange. Hands visible, stable camera, no text overlay, neutral shop lighting. Action=applying; tool=putty rope; object/material=sink basket flange; show tool-to-object contact; start state, motion, and finished state all visible.</x:v>
      </x:c>
      <x:c r="N117" s="14" t="n">
        <x:v>8</x:v>
      </x:c>
      <x:c r="O117" s="14" t="n">
        <x:v>100201</x:v>
      </x:c>
      <x:c r="P117" t="str">
        <x:v>R-B</x:v>
      </x:c>
      <x:c r="Q117" s="12" t="n">
        <x:v>3.96</x:v>
      </x:c>
      <x:c r="R117" s="12" t="n">
        <x:v>4.07</x:v>
      </x:c>
      <x:c r="S117" s="12" t="n">
        <x:v>4.5</x:v>
      </x:c>
      <x:c r="T117" s="12" t="n">
        <x:v>4.14</x:v>
      </x:c>
      <x:c r="U117" s="12" t="n">
        <x:v>4.25</x:v>
      </x:c>
      <x:c r="V117" s="12" t="n">
        <x:v>4.2</x:v>
      </x:c>
      <x:c r="W117" s="12" t="n">
        <x:f>ROUND((Q117*0.24)+(R117*0.22)+(S117*0.16)+(T117*0.18)+(U117*0.10)+(V117*0.10),2)</x:f>
        <x:v>4.16</x:v>
      </x:c>
      <x:c r="X117" t="str">
        <x:f>IF(W117&gt;=3.55,"Pass","Fail")</x:f>
        <x:v>Pass</x:v>
      </x:c>
      <x:c r="Y117" t="str">
        <x:v>motion slightly compressed</x:v>
      </x:c>
      <x:c r="Z117" t="str">
        <x:v>Review note: Good continuity from frame to frame. The putty rope makes visual contact with the workpiece and the motion does not feel invented. The mistake appears late, so a simple thumbnail review would probably miss it. For this plumbing example, the main judgment is still whether the viewer can copy the motion.</x:v>
      </x:c>
      <x:c r="AA117" t="str">
        <x:v>Add a one-sentence end-state requirement: viewer must see the completed applying result for one full second.</x:v>
      </x:c>
      <x:c r="AB117" t="str">
        <x:v>Medium-High</x:v>
      </x:c>
      <x:c r="AC117" t="str"/>
      <x:c r="AD117" t="str">
        <x:v>Mock rater record for experiment design; audit against real video outputs before publication.</x:v>
      </x:c>
    </x:row>
    <x:row r="118">
      <x:c r="A118" t="str">
        <x:v>S020-Runway-STR</x:v>
      </x:c>
      <x:c r="B118" t="str">
        <x:v>S020</x:v>
      </x:c>
      <x:c r="C118" t="str">
        <x:v>Plumbing</x:v>
      </x:c>
      <x:c r="D118" t="str">
        <x:v>sealant</x:v>
      </x:c>
      <x:c r="E118" t="str">
        <x:v>applying</x:v>
      </x:c>
      <x:c r="F118" t="n">
        <x:v>3</x:v>
      </x:c>
      <x:c r="G118" t="str">
        <x:v>apply plumber's putty around a sink basket flange</x:v>
      </x:c>
      <x:c r="H118" t="str">
        <x:v>putty rope</x:v>
      </x:c>
      <x:c r="I118" t="str">
        <x:v>sink basket flange</x:v>
      </x:c>
      <x:c r="J118" t="str">
        <x:v>Runway Gen-4.5</x:v>
      </x:c>
      <x:c r="K118" t="str">
        <x:v>Structured Action-Object-Tool</x:v>
      </x:c>
      <x:c r="L118" t="str">
        <x:v>Action, tool, object, grip, contact point, start/end states.</x:v>
      </x:c>
      <x:c r="M118" t="str">
        <x:v>Close-up realistic instructional DIY video: apply plumber's putty around a sink basket flange. Show putty rope working on sink basket flange. Hands visible, stable camera, no text overlay, neutral shop lighting. Action=applying; tool=putty rope; object/material=sink basket flange; show tool-to-object contact; start state, motion, and finished state all visible.</x:v>
      </x:c>
      <x:c r="N118" s="14" t="n">
        <x:v>5</x:v>
      </x:c>
      <x:c r="O118" s="14" t="n">
        <x:v>100202</x:v>
      </x:c>
      <x:c r="P118" t="str">
        <x:v>R-E</x:v>
      </x:c>
      <x:c r="Q118" s="12" t="n">
        <x:v>3.9</x:v>
      </x:c>
      <x:c r="R118" s="12" t="n">
        <x:v>4.24</x:v>
      </x:c>
      <x:c r="S118" s="12" t="n">
        <x:v>4.06</x:v>
      </x:c>
      <x:c r="T118" s="12" t="n">
        <x:v>4.02</x:v>
      </x:c>
      <x:c r="U118" s="12" t="n">
        <x:v>4.01</x:v>
      </x:c>
      <x:c r="V118" s="12" t="n">
        <x:v>4.08</x:v>
      </x:c>
      <x:c r="W118" s="12" t="n">
        <x:f>ROUND((Q118*0.24)+(R118*0.22)+(S118*0.16)+(T118*0.18)+(U118*0.10)+(V118*0.10),2)</x:f>
        <x:v>4.05</x:v>
      </x:c>
      <x:c r="X118" t="str">
        <x:f>IF(W118&gt;=3.55,"Pass","Fail")</x:f>
        <x:v>Pass</x:v>
      </x:c>
      <x:c r="Y118" t="str">
        <x:v>contact point hidden</x:v>
      </x:c>
      <x:c r="Z118" t="str">
        <x:v>Human check: Usable, but I would not show it without review. The putty rope is recognizable, yet the exact contact point is hard to see when the hand crosses the frame. The mistake appears late, so a simple thumbnail review would probably miss it. For this plumbing example, the main judgment is still whether the viewer can copy the motion.</x:v>
      </x:c>
      <x:c r="AA118" t="str">
        <x:v>Use a reference image for the putty rope and specify its grip/orientation in plain language.</x:v>
      </x:c>
      <x:c r="AB118" t="str">
        <x:v>High</x:v>
      </x:c>
      <x:c r="AC118" t="str"/>
      <x:c r="AD118" t="str">
        <x:v>Planning dataset only; scores are plausible placeholders, not vendor claims.</x:v>
      </x:c>
    </x:row>
    <x:row r="119">
      <x:c r="A119" t="str">
        <x:v>S020-Kling-STR</x:v>
      </x:c>
      <x:c r="B119" t="str">
        <x:v>S020</x:v>
      </x:c>
      <x:c r="C119" t="str">
        <x:v>Plumbing</x:v>
      </x:c>
      <x:c r="D119" t="str">
        <x:v>sealant</x:v>
      </x:c>
      <x:c r="E119" t="str">
        <x:v>applying</x:v>
      </x:c>
      <x:c r="F119" t="n">
        <x:v>3</x:v>
      </x:c>
      <x:c r="G119" t="str">
        <x:v>apply plumber's putty around a sink basket flange</x:v>
      </x:c>
      <x:c r="H119" t="str">
        <x:v>putty rope</x:v>
      </x:c>
      <x:c r="I119" t="str">
        <x:v>sink basket flange</x:v>
      </x:c>
      <x:c r="J119" t="str">
        <x:v>Kling v3.0 (Replicate)</x:v>
      </x:c>
      <x:c r="K119" t="str">
        <x:v>Structured Action-Object-Tool</x:v>
      </x:c>
      <x:c r="L119" t="str">
        <x:v>Action, tool, object, grip, contact point, start/end states.</x:v>
      </x:c>
      <x:c r="M119" t="str">
        <x:v>Close-up realistic instructional DIY video: apply plumber's putty around a sink basket flange. Show putty rope working on sink basket flange. Hands visible, stable camera, no text overlay, neutral shop lighting. Action=applying; tool=putty rope; object/material=sink basket flange; show tool-to-object contact; start state, motion, and finished state all visible.</x:v>
      </x:c>
      <x:c r="N119" s="14" t="n">
        <x:v>10</x:v>
      </x:c>
      <x:c r="O119" s="14" t="n">
        <x:v>100203</x:v>
      </x:c>
      <x:c r="P119" t="str">
        <x:v>R-D</x:v>
      </x:c>
      <x:c r="Q119" s="12" t="n">
        <x:v>3.65</x:v>
      </x:c>
      <x:c r="R119" s="12" t="n">
        <x:v>4.15</x:v>
      </x:c>
      <x:c r="S119" s="12" t="n">
        <x:v>3.68</x:v>
      </x:c>
      <x:c r="T119" s="12" t="n">
        <x:v>3.76</x:v>
      </x:c>
      <x:c r="U119" s="12" t="n">
        <x:v>3.8</x:v>
      </x:c>
      <x:c r="V119" s="12" t="n">
        <x:v>3.59</x:v>
      </x:c>
      <x:c r="W119" s="12" t="n">
        <x:f>ROUND((Q119*0.24)+(R119*0.22)+(S119*0.16)+(T119*0.18)+(U119*0.10)+(V119*0.10),2)</x:f>
        <x:v>3.79</x:v>
      </x:c>
      <x:c r="X119" t="str">
        <x:f>IF(W119&gt;=3.55,"Pass","Fail")</x:f>
        <x:v>Pass</x:v>
      </x:c>
      <x:c r="Y119" t="str">
        <x:v>contact point hidden</x:v>
      </x:c>
      <x:c r="Z119" t="str">
        <x:v>QA note: The intention is clear, especially if you already know the step. A novice might miss the key detail because this issue appears right where the action should be most explicit: contact point hidden. The prompt should prioritize hand path over cinematic lighting. For this plumbing example, the main judgment is still whether the viewer can copy the motion.</x:v>
      </x:c>
      <x:c r="AA119" t="str">
        <x:v>Break the action into start, contact, movement, and finish; ban extra tools and hand morphing.</x:v>
      </x:c>
      <x:c r="AB119" t="str">
        <x:v>High</x:v>
      </x:c>
      <x:c r="AC119" t="str"/>
      <x:c r="AD119" t="str">
        <x:v>Mock rater record for experiment design; audit against real video outputs before publication.</x:v>
      </x:c>
    </x:row>
    <x:row r="120">
      <x:c r="A120" t="str">
        <x:v>S020-Pika-STR</x:v>
      </x:c>
      <x:c r="B120" t="str">
        <x:v>S020</x:v>
      </x:c>
      <x:c r="C120" t="str">
        <x:v>Plumbing</x:v>
      </x:c>
      <x:c r="D120" t="str">
        <x:v>sealant</x:v>
      </x:c>
      <x:c r="E120" t="str">
        <x:v>applying</x:v>
      </x:c>
      <x:c r="F120" t="n">
        <x:v>3</x:v>
      </x:c>
      <x:c r="G120" t="str">
        <x:v>apply plumber's putty around a sink basket flange</x:v>
      </x:c>
      <x:c r="H120" t="str">
        <x:v>putty rope</x:v>
      </x:c>
      <x:c r="I120" t="str">
        <x:v>sink basket flange</x:v>
      </x:c>
      <x:c r="J120" t="str">
        <x:v>Pika 2.2</x:v>
      </x:c>
      <x:c r="K120" t="str">
        <x:v>Structured Action-Object-Tool</x:v>
      </x:c>
      <x:c r="L120" t="str">
        <x:v>Action, tool, object, grip, contact point, start/end states.</x:v>
      </x:c>
      <x:c r="M120" t="str">
        <x:v>Close-up realistic instructional DIY video: apply plumber's putty around a sink basket flange. Show putty rope working on sink basket flange. Hands visible, stable camera, no text overlay, neutral shop lighting. Action=applying; tool=putty rope; object/material=sink basket flange; show tool-to-object contact; start state, motion, and finished state all visible.</x:v>
      </x:c>
      <x:c r="N120" s="14" t="n">
        <x:v>5</x:v>
      </x:c>
      <x:c r="O120" s="14" t="n">
        <x:v>100204</x:v>
      </x:c>
      <x:c r="P120" t="str">
        <x:v>R-B</x:v>
      </x:c>
      <x:c r="Q120" s="12" t="n">
        <x:v>3.44</x:v>
      </x:c>
      <x:c r="R120" s="12" t="n">
        <x:v>4.24</x:v>
      </x:c>
      <x:c r="S120" s="12" t="n">
        <x:v>3.51</x:v>
      </x:c>
      <x:c r="T120" s="12" t="n">
        <x:v>3.06</x:v>
      </x:c>
      <x:c r="U120" s="12" t="n">
        <x:v>2.85</x:v>
      </x:c>
      <x:c r="V120" s="12" t="n">
        <x:v>3.52</x:v>
      </x:c>
      <x:c r="W120" s="12" t="n">
        <x:f>ROUND((Q120*0.24)+(R120*0.22)+(S120*0.16)+(T120*0.18)+(U120*0.10)+(V120*0.10),2)</x:f>
        <x:v>3.51</x:v>
      </x:c>
      <x:c r="X120" t="str">
        <x:f>IF(W120&gt;=3.55,"Pass","Fail")</x:f>
        <x:v>Fail</x:v>
      </x:c>
      <x:c r="Y120" t="str">
        <x:v>camera blocks work</x:v>
      </x:c>
      <x:c r="Z120" t="str">
        <x:v>Review note: This should fail the instructional bar. The model gestures toward the task, but the failure mode prevents a learner from trusting the technique: camera blocks work. This would be safer as a reference-aided run than a text-only run. For this plumbing example, the main judgment is still whether the viewer can copy the motion.</x:v>
      </x:c>
      <x:c r="AA120" t="str">
        <x:v>Move safety language earlier in the prompt and remove cinematic camera instructions.</x:v>
      </x:c>
      <x:c r="AB120" t="str">
        <x:v>High</x:v>
      </x:c>
      <x:c r="AC120" t="str"/>
      <x:c r="AD120" t="str">
        <x:v>Mock rater record for experiment design; audit against real video outputs before publication.</x:v>
      </x:c>
    </x:row>
    <x:row r="121">
      <x:c r="A121" t="str">
        <x:v>S020-Vidu-STR</x:v>
      </x:c>
      <x:c r="B121" t="str">
        <x:v>S020</x:v>
      </x:c>
      <x:c r="C121" t="str">
        <x:v>Plumbing</x:v>
      </x:c>
      <x:c r="D121" t="str">
        <x:v>sealant</x:v>
      </x:c>
      <x:c r="E121" t="str">
        <x:v>applying</x:v>
      </x:c>
      <x:c r="F121" t="n">
        <x:v>3</x:v>
      </x:c>
      <x:c r="G121" t="str">
        <x:v>apply plumber's putty around a sink basket flange</x:v>
      </x:c>
      <x:c r="H121" t="str">
        <x:v>putty rope</x:v>
      </x:c>
      <x:c r="I121" t="str">
        <x:v>sink basket flange</x:v>
      </x:c>
      <x:c r="J121" t="str">
        <x:v>Vidu 2.0</x:v>
      </x:c>
      <x:c r="K121" t="str">
        <x:v>Structured Action-Object-Tool</x:v>
      </x:c>
      <x:c r="L121" t="str">
        <x:v>Action, tool, object, grip, contact point, start/end states.</x:v>
      </x:c>
      <x:c r="M121" t="str">
        <x:v>Close-up realistic instructional DIY video: apply plumber's putty around a sink basket flange. Show putty rope working on sink basket flange. Hands visible, stable camera, no text overlay, neutral shop lighting. Action=applying; tool=putty rope; object/material=sink basket flange; show tool-to-object contact; start state, motion, and finished state all visible.</x:v>
      </x:c>
      <x:c r="N121" s="14" t="n">
        <x:v>5</x:v>
      </x:c>
      <x:c r="O121" s="14" t="n">
        <x:v>100205</x:v>
      </x:c>
      <x:c r="P121" t="str">
        <x:v>R-B</x:v>
      </x:c>
      <x:c r="Q121" s="12" t="n">
        <x:v>3.1</x:v>
      </x:c>
      <x:c r="R121" s="12" t="n">
        <x:v>3.73</x:v>
      </x:c>
      <x:c r="S121" s="12" t="n">
        <x:v>3.29</x:v>
      </x:c>
      <x:c r="T121" s="12" t="n">
        <x:v>3.35</x:v>
      </x:c>
      <x:c r="U121" s="12" t="n">
        <x:v>3.19</x:v>
      </x:c>
      <x:c r="V121" s="12" t="n">
        <x:v>2.96</x:v>
      </x:c>
      <x:c r="W121" s="12" t="n">
        <x:f>ROUND((Q121*0.24)+(R121*0.22)+(S121*0.16)+(T121*0.18)+(U121*0.10)+(V121*0.10),2)</x:f>
        <x:v>3.31</x:v>
      </x:c>
      <x:c r="X121" t="str">
        <x:f>IF(W121&gt;=3.55,"Pass","Fail")</x:f>
        <x:v>Fail</x:v>
      </x:c>
      <x:c r="Y121" t="str">
        <x:v>wrong grip on tool</x:v>
      </x:c>
      <x:c r="Z121" t="str">
        <x:v>Review note: A reviewer would likely reject this. It may be visually attractive, but the tool/object relationship breaks during the important moment. The next prompt should slow the final second instead of adding more scene detail. For this plumbing example, the main judgment is still whether the viewer can copy the motion.</x:v>
      </x:c>
      <x:c r="AA121" t="str">
        <x:v>Use a reference image for the putty rope and specify its grip/orientation in plain language.</x:v>
      </x:c>
      <x:c r="AB121" t="str">
        <x:v>Medium</x:v>
      </x:c>
      <x:c r="AC121" t="str"/>
      <x:c r="AD121" t="str">
        <x:v>Planning dataset only; scores are plausible placeholders, not vendor claims.</x:v>
      </x:c>
    </x:row>
    <x:row r="122">
      <x:c r="A122" t="str">
        <x:v>S021-Veo-MET</x:v>
      </x:c>
      <x:c r="B122" t="str">
        <x:v>S021</x:v>
      </x:c>
      <x:c r="C122" t="str">
        <x:v>Electrical</x:v>
      </x:c>
      <x:c r="D122" t="str">
        <x:v>safety check</x:v>
      </x:c>
      <x:c r="E122" t="str">
        <x:v>testing</x:v>
      </x:c>
      <x:c r="F122" t="n">
        <x:v>5</x:v>
      </x:c>
      <x:c r="G122" t="str">
        <x:v>confirm an outlet is de-energized before removing the cover</x:v>
      </x:c>
      <x:c r="H122" t="str">
        <x:v>non-contact voltage tester</x:v>
      </x:c>
      <x:c r="I122" t="str">
        <x:v>duplex outlet</x:v>
      </x:c>
      <x:c r="J122" t="str">
        <x:v>Veo 3.1</x:v>
      </x:c>
      <x:c r="K122" t="str">
        <x:v>Metadata-Enriched</x:v>
      </x:c>
      <x:c r="L122" t="str">
        <x:v>Uses clipDescription, clipSummary, toolNames, suppliesNames, processTechniques, safetyEquipment.</x:v>
      </x:c>
      <x:c r="M122" t="str">
        <x:v>Close-up realistic instructional DIY video: confirm an outlet is de-energized before removing the cover. Show non-contact voltage tester working on duplex outlet. Hands visible, stable camera, no text overlay, neutral shop lighting. clipDescription='confirm an outlet is de-energized before removing the cover'. clipSummary='one practical repair step'. toolNames='non-contact voltage tester'. suppliesNames='duplex outlet'. processTechnique='testing'. Safety cue: use normal homeowner precautions and avoid risky shortcuts.</x:v>
      </x:c>
      <x:c r="N122" s="14" t="n">
        <x:v>8</x:v>
      </x:c>
      <x:c r="O122" s="14" t="n">
        <x:v>100210</x:v>
      </x:c>
      <x:c r="P122" t="str">
        <x:v>R-E</x:v>
      </x:c>
      <x:c r="Q122" s="12" t="n">
        <x:v>3.78</x:v>
      </x:c>
      <x:c r="R122" s="12" t="n">
        <x:v>3.67</x:v>
      </x:c>
      <x:c r="S122" s="12" t="n">
        <x:v>3.87</x:v>
      </x:c>
      <x:c r="T122" s="12" t="n">
        <x:v>4.46</x:v>
      </x:c>
      <x:c r="U122" s="12" t="n">
        <x:v>3.76</x:v>
      </x:c>
      <x:c r="V122" s="12" t="n">
        <x:v>4.46</x:v>
      </x:c>
      <x:c r="W122" s="12" t="n">
        <x:f>ROUND((Q122*0.24)+(R122*0.22)+(S122*0.16)+(T122*0.18)+(U122*0.10)+(V122*0.10),2)</x:f>
        <x:v>3.96</x:v>
      </x:c>
      <x:c r="X122" t="str">
        <x:f>IF(W122&gt;=3.55,"Pass","Fail")</x:f>
        <x:v>Pass</x:v>
      </x:c>
      <x:c r="Y122" t="str">
        <x:v>motion slightly compressed</x:v>
      </x:c>
      <x:c r="Z122" t="str">
        <x:v>Review note: Looks plausible at first glance. On a second pass, the duplex outlet shifts slightly and the model seems to infer the outcome rather than show the full testing. The issue is subtle visually, but it matters because the clip is supposed to teach the technique. For this electrical example, the main judgment is still whether the viewer can copy the motion.</x:v>
      </x:c>
      <x:c r="AA122" t="str">
        <x:v>Use sequential context only for continuity, not for adding previous/next steps into the frame.</x:v>
      </x:c>
      <x:c r="AB122" t="str">
        <x:v>High</x:v>
      </x:c>
      <x:c r="AC122" t="str"/>
      <x:c r="AD122" t="str">
        <x:v>Simulated pilot row for planning; replace with blinded ratings after generating actual clips.</x:v>
      </x:c>
    </x:row>
    <x:row r="123">
      <x:c r="A123" t="str">
        <x:v>S021-Sora-MET</x:v>
      </x:c>
      <x:c r="B123" t="str">
        <x:v>S021</x:v>
      </x:c>
      <x:c r="C123" t="str">
        <x:v>Electrical</x:v>
      </x:c>
      <x:c r="D123" t="str">
        <x:v>safety check</x:v>
      </x:c>
      <x:c r="E123" t="str">
        <x:v>testing</x:v>
      </x:c>
      <x:c r="F123" t="n">
        <x:v>5</x:v>
      </x:c>
      <x:c r="G123" t="str">
        <x:v>confirm an outlet is de-energized before removing the cover</x:v>
      </x:c>
      <x:c r="H123" t="str">
        <x:v>non-contact voltage tester</x:v>
      </x:c>
      <x:c r="I123" t="str">
        <x:v>duplex outlet</x:v>
      </x:c>
      <x:c r="J123" t="str">
        <x:v>Sora 2 Pro</x:v>
      </x:c>
      <x:c r="K123" t="str">
        <x:v>Metadata-Enriched</x:v>
      </x:c>
      <x:c r="L123" t="str">
        <x:v>Uses clipDescription, clipSummary, toolNames, suppliesNames, processTechniques, safetyEquipment.</x:v>
      </x:c>
      <x:c r="M123" t="str">
        <x:v>Close-up realistic instructional DIY video: confirm an outlet is de-energized before removing the cover. Show non-contact voltage tester working on duplex outlet. Hands visible, stable camera, no text overlay, neutral shop lighting. clipDescription='confirm an outlet is de-energized before removing the cover'. clipSummary='one practical repair step'. toolNames='non-contact voltage tester'. suppliesNames='duplex outlet'. processTechnique='testing'. Safety cue: use normal homeowner precautions and avoid risky shortcuts.</x:v>
      </x:c>
      <x:c r="N123" s="14" t="n">
        <x:v>8</x:v>
      </x:c>
      <x:c r="O123" s="14" t="n">
        <x:v>100211</x:v>
      </x:c>
      <x:c r="P123" t="str">
        <x:v>R-C</x:v>
      </x:c>
      <x:c r="Q123" s="12" t="n">
        <x:v>4.06</x:v>
      </x:c>
      <x:c r="R123" s="12" t="n">
        <x:v>3.88</x:v>
      </x:c>
      <x:c r="S123" s="12" t="n">
        <x:v>3.78</x:v>
      </x:c>
      <x:c r="T123" s="12" t="n">
        <x:v>3.91</x:v>
      </x:c>
      <x:c r="U123" s="12" t="n">
        <x:v>3.5</x:v>
      </x:c>
      <x:c r="V123" s="12" t="n">
        <x:v>3.62</x:v>
      </x:c>
      <x:c r="W123" s="12" t="n">
        <x:f>ROUND((Q123*0.24)+(R123*0.22)+(S123*0.16)+(T123*0.18)+(U123*0.10)+(V123*0.10),2)</x:f>
        <x:v>3.85</x:v>
      </x:c>
      <x:c r="X123" t="str">
        <x:f>IF(W123&gt;=3.55,"Pass","Fail")</x:f>
        <x:v>Pass</x:v>
      </x:c>
      <x:c r="Y123" t="str">
        <x:v>tool pose a little soft</x:v>
      </x:c>
      <x:c r="Z123" t="str">
        <x:v>Review note: The intention is clear, especially if you already know the step. A novice might miss the key detail because this issue appears right where the action should be most explicit: tool pose a little soft. The clip needs a verifier pass before it can enter the training pool. For this electrical example, the main judgment is still whether the viewer can copy the motion.</x:v>
      </x:c>
      <x:c r="AA123" t="str">
        <x:v>Specify the exact contact point and do not allow the hand to cover it.</x:v>
      </x:c>
      <x:c r="AB123" t="str">
        <x:v>Medium-High</x:v>
      </x:c>
      <x:c r="AC123" t="str"/>
      <x:c r="AD123" t="str">
        <x:v>Planning dataset only; scores are plausible placeholders, not vendor claims.</x:v>
      </x:c>
    </x:row>
    <x:row r="124">
      <x:c r="A124" t="str">
        <x:v>S021-Runway-MET</x:v>
      </x:c>
      <x:c r="B124" t="str">
        <x:v>S021</x:v>
      </x:c>
      <x:c r="C124" t="str">
        <x:v>Electrical</x:v>
      </x:c>
      <x:c r="D124" t="str">
        <x:v>safety check</x:v>
      </x:c>
      <x:c r="E124" t="str">
        <x:v>testing</x:v>
      </x:c>
      <x:c r="F124" t="n">
        <x:v>5</x:v>
      </x:c>
      <x:c r="G124" t="str">
        <x:v>confirm an outlet is de-energized before removing the cover</x:v>
      </x:c>
      <x:c r="H124" t="str">
        <x:v>non-contact voltage tester</x:v>
      </x:c>
      <x:c r="I124" t="str">
        <x:v>duplex outlet</x:v>
      </x:c>
      <x:c r="J124" t="str">
        <x:v>Runway Gen-4.5</x:v>
      </x:c>
      <x:c r="K124" t="str">
        <x:v>Metadata-Enriched</x:v>
      </x:c>
      <x:c r="L124" t="str">
        <x:v>Uses clipDescription, clipSummary, toolNames, suppliesNames, processTechniques, safetyEquipment.</x:v>
      </x:c>
      <x:c r="M124" t="str">
        <x:v>Close-up realistic instructional DIY video: confirm an outlet is de-energized before removing the cover. Show non-contact voltage tester working on duplex outlet. Hands visible, stable camera, no text overlay, neutral shop lighting. clipDescription='confirm an outlet is de-energized before removing the cover'. clipSummary='one practical repair step'. toolNames='non-contact voltage tester'. suppliesNames='duplex outlet'. processTechnique='testing'. Safety cue: use normal homeowner precautions and avoid risky shortcuts.</x:v>
      </x:c>
      <x:c r="N124" s="14" t="n">
        <x:v>5</x:v>
      </x:c>
      <x:c r="O124" s="14" t="n">
        <x:v>100212</x:v>
      </x:c>
      <x:c r="P124" t="str">
        <x:v>R-B</x:v>
      </x:c>
      <x:c r="Q124" s="12" t="n">
        <x:v>3.14</x:v>
      </x:c>
      <x:c r="R124" s="12" t="n">
        <x:v>3.64</x:v>
      </x:c>
      <x:c r="S124" s="12" t="n">
        <x:v>3.22</x:v>
      </x:c>
      <x:c r="T124" s="12" t="n">
        <x:v>2.6</x:v>
      </x:c>
      <x:c r="U124" s="12" t="n">
        <x:v>3.72</x:v>
      </x:c>
      <x:c r="V124" s="12" t="n">
        <x:v>3.95</x:v>
      </x:c>
      <x:c r="W124" s="12" t="n">
        <x:f>ROUND((Q124*0.24)+(R124*0.22)+(S124*0.16)+(T124*0.18)+(U124*0.10)+(V124*0.10),2)</x:f>
        <x:v>3.3</x:v>
      </x:c>
      <x:c r="X124" t="str">
        <x:f>IF(W124&gt;=3.55,"Pass","Fail")</x:f>
        <x:v>Fail</x:v>
      </x:c>
      <x:c r="Y124" t="str">
        <x:v>tool floats near object</x:v>
      </x:c>
      <x:c r="Z124" t="str">
        <x:v>Review note: A reviewer would likely reject this. It may be visually attractive, but the tool/object relationship breaks during the important moment. The most important fix is to show the before-and-after state without a cut. For this electrical example, the main judgment is still whether the viewer can copy the motion.</x:v>
      </x:c>
      <x:c r="AA124" t="str">
        <x:v>Add a one-sentence end-state requirement: viewer must see the completed testing result for one full second.</x:v>
      </x:c>
      <x:c r="AB124" t="str">
        <x:v>Medium</x:v>
      </x:c>
      <x:c r="AC124" t="str"/>
      <x:c r="AD124" t="str">
        <x:v>Planning dataset only; scores are plausible placeholders, not vendor claims.</x:v>
      </x:c>
    </x:row>
    <x:row r="125">
      <x:c r="A125" t="str">
        <x:v>S021-Kling-MET</x:v>
      </x:c>
      <x:c r="B125" t="str">
        <x:v>S021</x:v>
      </x:c>
      <x:c r="C125" t="str">
        <x:v>Electrical</x:v>
      </x:c>
      <x:c r="D125" t="str">
        <x:v>safety check</x:v>
      </x:c>
      <x:c r="E125" t="str">
        <x:v>testing</x:v>
      </x:c>
      <x:c r="F125" t="n">
        <x:v>5</x:v>
      </x:c>
      <x:c r="G125" t="str">
        <x:v>confirm an outlet is de-energized before removing the cover</x:v>
      </x:c>
      <x:c r="H125" t="str">
        <x:v>non-contact voltage tester</x:v>
      </x:c>
      <x:c r="I125" t="str">
        <x:v>duplex outlet</x:v>
      </x:c>
      <x:c r="J125" t="str">
        <x:v>Kling v3.0 (Replicate)</x:v>
      </x:c>
      <x:c r="K125" t="str">
        <x:v>Metadata-Enriched</x:v>
      </x:c>
      <x:c r="L125" t="str">
        <x:v>Uses clipDescription, clipSummary, toolNames, suppliesNames, processTechniques, safetyEquipment.</x:v>
      </x:c>
      <x:c r="M125" t="str">
        <x:v>Close-up realistic instructional DIY video: confirm an outlet is de-energized before removing the cover. Show non-contact voltage tester working on duplex outlet. Hands visible, stable camera, no text overlay, neutral shop lighting. clipDescription='confirm an outlet is de-energized before removing the cover'. clipSummary='one practical repair step'. toolNames='non-contact voltage tester'. suppliesNames='duplex outlet'. processTechnique='testing'. Safety cue: use normal homeowner precautions and avoid risky shortcuts.</x:v>
      </x:c>
      <x:c r="N125" s="14" t="n">
        <x:v>10</x:v>
      </x:c>
      <x:c r="O125" s="14" t="n">
        <x:v>100213</x:v>
      </x:c>
      <x:c r="P125" t="str">
        <x:v>R-E</x:v>
      </x:c>
      <x:c r="Q125" s="12" t="n">
        <x:v>3.33</x:v>
      </x:c>
      <x:c r="R125" s="12" t="n">
        <x:v>3.57</x:v>
      </x:c>
      <x:c r="S125" s="12" t="n">
        <x:v>3.46</x:v>
      </x:c>
      <x:c r="T125" s="12" t="n">
        <x:v>3.52</x:v>
      </x:c>
      <x:c r="U125" s="12" t="n">
        <x:v>3.43</x:v>
      </x:c>
      <x:c r="V125" s="12" t="n">
        <x:v>2.68</x:v>
      </x:c>
      <x:c r="W125" s="12" t="n">
        <x:f>ROUND((Q125*0.24)+(R125*0.22)+(S125*0.16)+(T125*0.18)+(U125*0.10)+(V125*0.10),2)</x:f>
        <x:v>3.38</x:v>
      </x:c>
      <x:c r="X125" t="str">
        <x:f>IF(W125&gt;=3.55,"Pass","Fail")</x:f>
        <x:v>Fail</x:v>
      </x:c>
      <x:c r="Y125" t="str">
        <x:v>force/torque reads wrong</x:v>
      </x:c>
      <x:c r="Z125" t="str">
        <x:v>Rater note: This should fail the instructional bar. The model gestures toward the task, but the failure mode prevents a learner from trusting the technique: force/torque reads wrong. On a small preview it might pass, but full-screen review exposes the issue. For this electrical example, the main judgment is still whether the viewer can copy the motion.</x:v>
      </x:c>
      <x:c r="AA125" t="str">
        <x:v>Ask for a static close-up and require the non-contact voltage tester to touch the duplex outlet before any motion starts.</x:v>
      </x:c>
      <x:c r="AB125" t="str">
        <x:v>Medium-High</x:v>
      </x:c>
      <x:c r="AC125" t="str"/>
      <x:c r="AD125" t="str">
        <x:v>Mock rater record for experiment design; audit against real video outputs before publication.</x:v>
      </x:c>
    </x:row>
    <x:row r="126">
      <x:c r="A126" t="str">
        <x:v>S021-Pika-MET</x:v>
      </x:c>
      <x:c r="B126" t="str">
        <x:v>S021</x:v>
      </x:c>
      <x:c r="C126" t="str">
        <x:v>Electrical</x:v>
      </x:c>
      <x:c r="D126" t="str">
        <x:v>safety check</x:v>
      </x:c>
      <x:c r="E126" t="str">
        <x:v>testing</x:v>
      </x:c>
      <x:c r="F126" t="n">
        <x:v>5</x:v>
      </x:c>
      <x:c r="G126" t="str">
        <x:v>confirm an outlet is de-energized before removing the cover</x:v>
      </x:c>
      <x:c r="H126" t="str">
        <x:v>non-contact voltage tester</x:v>
      </x:c>
      <x:c r="I126" t="str">
        <x:v>duplex outlet</x:v>
      </x:c>
      <x:c r="J126" t="str">
        <x:v>Pika 2.2</x:v>
      </x:c>
      <x:c r="K126" t="str">
        <x:v>Metadata-Enriched</x:v>
      </x:c>
      <x:c r="L126" t="str">
        <x:v>Uses clipDescription, clipSummary, toolNames, suppliesNames, processTechniques, safetyEquipment.</x:v>
      </x:c>
      <x:c r="M126" t="str">
        <x:v>Close-up realistic instructional DIY video: confirm an outlet is de-energized before removing the cover. Show non-contact voltage tester working on duplex outlet. Hands visible, stable camera, no text overlay, neutral shop lighting. clipDescription='confirm an outlet is de-energized before removing the cover'. clipSummary='one practical repair step'. toolNames='non-contact voltage tester'. suppliesNames='duplex outlet'. processTechnique='testing'. Safety cue: use normal homeowner precautions and avoid risky shortcuts.</x:v>
      </x:c>
      <x:c r="N126" s="14" t="n">
        <x:v>5</x:v>
      </x:c>
      <x:c r="O126" s="14" t="n">
        <x:v>100214</x:v>
      </x:c>
      <x:c r="P126" t="str">
        <x:v>R-E</x:v>
      </x:c>
      <x:c r="Q126" s="12" t="n">
        <x:v>2.88</x:v>
      </x:c>
      <x:c r="R126" s="12" t="n">
        <x:v>3.02</x:v>
      </x:c>
      <x:c r="S126" s="12" t="n">
        <x:v>3.25</x:v>
      </x:c>
      <x:c r="T126" s="12" t="n">
        <x:v>3.04</x:v>
      </x:c>
      <x:c r="U126" s="12" t="n">
        <x:v>2.95</x:v>
      </x:c>
      <x:c r="V126" s="12" t="n">
        <x:v>3.1</x:v>
      </x:c>
      <x:c r="W126" s="12" t="n">
        <x:f>ROUND((Q126*0.24)+(R126*0.22)+(S126*0.16)+(T126*0.18)+(U126*0.10)+(V126*0.10),2)</x:f>
        <x:v>3.03</x:v>
      </x:c>
      <x:c r="X126" t="str">
        <x:f>IF(W126&gt;=3.55,"Pass","Fail")</x:f>
        <x:v>Fail</x:v>
      </x:c>
      <x:c r="Y126" t="str">
        <x:v>missing contact point</x:v>
      </x:c>
      <x:c r="Z126" t="str">
        <x:v>Human check: The generated clip loses the procedure. I would re-run with a reference frame and a stricter Action-Object-Tool prompt. I would keep the same camera angle but ask for a tighter view of the contact point. For this electrical example, the main judgment is still whether the viewer can copy the motion.</x:v>
      </x:c>
      <x:c r="AA126" t="str">
        <x:v>Use a reference image for the non-contact voltage tester and specify its grip/orientation in plain language.</x:v>
      </x:c>
      <x:c r="AB126" t="str">
        <x:v>Medium-High</x:v>
      </x:c>
      <x:c r="AC126" t="str"/>
      <x:c r="AD126" t="str">
        <x:v>Mock rater record for experiment design; audit against real video outputs before publication.</x:v>
      </x:c>
    </x:row>
    <x:row r="127">
      <x:c r="A127" t="str">
        <x:v>S021-Vidu-MET</x:v>
      </x:c>
      <x:c r="B127" t="str">
        <x:v>S021</x:v>
      </x:c>
      <x:c r="C127" t="str">
        <x:v>Electrical</x:v>
      </x:c>
      <x:c r="D127" t="str">
        <x:v>safety check</x:v>
      </x:c>
      <x:c r="E127" t="str">
        <x:v>testing</x:v>
      </x:c>
      <x:c r="F127" t="n">
        <x:v>5</x:v>
      </x:c>
      <x:c r="G127" t="str">
        <x:v>confirm an outlet is de-energized before removing the cover</x:v>
      </x:c>
      <x:c r="H127" t="str">
        <x:v>non-contact voltage tester</x:v>
      </x:c>
      <x:c r="I127" t="str">
        <x:v>duplex outlet</x:v>
      </x:c>
      <x:c r="J127" t="str">
        <x:v>Vidu 2.0</x:v>
      </x:c>
      <x:c r="K127" t="str">
        <x:v>Metadata-Enriched</x:v>
      </x:c>
      <x:c r="L127" t="str">
        <x:v>Uses clipDescription, clipSummary, toolNames, suppliesNames, processTechniques, safetyEquipment.</x:v>
      </x:c>
      <x:c r="M127" t="str">
        <x:v>Close-up realistic instructional DIY video: confirm an outlet is de-energized before removing the cover. Show non-contact voltage tester working on duplex outlet. Hands visible, stable camera, no text overlay, neutral shop lighting. clipDescription='confirm an outlet is de-energized before removing the cover'. clipSummary='one practical repair step'. toolNames='non-contact voltage tester'. suppliesNames='duplex outlet'. processTechnique='testing'. Safety cue: use normal homeowner precautions and avoid risky shortcuts.</x:v>
      </x:c>
      <x:c r="N127" s="14" t="n">
        <x:v>5</x:v>
      </x:c>
      <x:c r="O127" s="14" t="n">
        <x:v>100215</x:v>
      </x:c>
      <x:c r="P127" t="str">
        <x:v>R-D</x:v>
      </x:c>
      <x:c r="Q127" s="12" t="n">
        <x:v>2.67</x:v>
      </x:c>
      <x:c r="R127" s="12" t="n">
        <x:v>3.14</x:v>
      </x:c>
      <x:c r="S127" s="12" t="n">
        <x:v>2.61</x:v>
      </x:c>
      <x:c r="T127" s="12" t="n">
        <x:v>2.43</x:v>
      </x:c>
      <x:c r="U127" s="12" t="n">
        <x:v>3.61</x:v>
      </x:c>
      <x:c r="V127" s="12" t="n">
        <x:v>3.1</x:v>
      </x:c>
      <x:c r="W127" s="12" t="n">
        <x:f>ROUND((Q127*0.24)+(R127*0.22)+(S127*0.16)+(T127*0.18)+(U127*0.10)+(V127*0.10),2)</x:f>
        <x:v>2.86</x:v>
      </x:c>
      <x:c r="X127" t="str">
        <x:f>IF(W127&gt;=3.55,"Pass","Fail")</x:f>
        <x:v>Fail</x:v>
      </x:c>
      <x:c r="Y127" t="str">
        <x:v>scale of tool is off</x:v>
      </x:c>
      <x:c r="Z127" t="str">
        <x:v>Clip review: The clip looks like generic DIY stock footage rather than this specific step. The main problem is scale of tool is off, and the end state is not verifiable. On a small preview it might pass, but full-screen review exposes the issue. For this electrical example, the main judgment is still whether the viewer can copy the motion.</x:v>
      </x:c>
      <x:c r="AA127" t="str">
        <x:v>Use a reference image for the non-contact voltage tester and specify its grip/orientation in plain language.</x:v>
      </x:c>
      <x:c r="AB127" t="str">
        <x:v>Medium</x:v>
      </x:c>
      <x:c r="AC127" t="str"/>
      <x:c r="AD127" t="str">
        <x:v>Synthetic benchmark entry; generated clip URL should be filled after API run.</x:v>
      </x:c>
    </x:row>
    <x:row r="128">
      <x:c r="A128" t="str">
        <x:v>S022-Veo-REF</x:v>
      </x:c>
      <x:c r="B128" t="str">
        <x:v>S022</x:v>
      </x:c>
      <x:c r="C128" t="str">
        <x:v>Electrical</x:v>
      </x:c>
      <x:c r="D128" t="str">
        <x:v>wire prep</x:v>
      </x:c>
      <x:c r="E128" t="str">
        <x:v>stripping</x:v>
      </x:c>
      <x:c r="F128" t="n">
        <x:v>4</x:v>
      </x:c>
      <x:c r="G128" t="str">
        <x:v>strip three quarters of an inch of insulation from a 14-gauge wire</x:v>
      </x:c>
      <x:c r="H128" t="str">
        <x:v>wire stripper</x:v>
      </x:c>
      <x:c r="I128" t="str">
        <x:v>14-gauge copper wire</x:v>
      </x:c>
      <x:c r="J128" t="str">
        <x:v>Veo 3.1</x:v>
      </x:c>
      <x:c r="K128" t="str">
        <x:v>Reference-Guided</x:v>
      </x:c>
      <x:c r="L128" t="str">
        <x:v>Adds reference-tool/image cue and brand-agnostic visual constraints.</x:v>
      </x:c>
      <x:c r="M128" t="str">
        <x:v>Close-up realistic instructional DIY video: strip three quarters of an inch of insulation from a 14-gauge wire. Show wire stripper working on 14-gauge copper wire. Hands visible, stable camera, no text overlay, neutral shop lighting. Use a generic, brand-agnostic visual reference for the wire stripper; preserve the tool shape and scale; the wire stripper must remain in contact with 14-gauge copper wire during the key motion.</x:v>
      </x:c>
      <x:c r="N128" s="14" t="n">
        <x:v>8</x:v>
      </x:c>
      <x:c r="O128" s="14" t="n">
        <x:v>100220</x:v>
      </x:c>
      <x:c r="P128" t="str">
        <x:v>R-C</x:v>
      </x:c>
      <x:c r="Q128" s="12" t="n">
        <x:v>3.89</x:v>
      </x:c>
      <x:c r="R128" s="12" t="n">
        <x:v>4.06</x:v>
      </x:c>
      <x:c r="S128" s="12" t="n">
        <x:v>4.33</x:v>
      </x:c>
      <x:c r="T128" s="12" t="n">
        <x:v>4.28</x:v>
      </x:c>
      <x:c r="U128" s="12" t="n">
        <x:v>3.65</x:v>
      </x:c>
      <x:c r="V128" s="12" t="n">
        <x:v>4.2</x:v>
      </x:c>
      <x:c r="W128" s="12" t="n">
        <x:f>ROUND((Q128*0.24)+(R128*0.22)+(S128*0.16)+(T128*0.18)+(U128*0.10)+(V128*0.10),2)</x:f>
        <x:v>4.08</x:v>
      </x:c>
      <x:c r="X128" t="str">
        <x:f>IF(W128&gt;=3.55,"Pass","Fail")</x:f>
        <x:v>Pass</x:v>
      </x:c>
      <x:c r="Y128" t="str">
        <x:v>tool pose a little soft</x:v>
      </x:c>
      <x:c r="Z128" t="str">
        <x:v>Review note: Usable, but I would not show it without review. The wire stripper is recognizable, yet the exact contact point is hard to see when the hand crosses the frame. I would keep the same camera angle but ask for a tighter view of the contact point. For this electrical example, the main judgment is still whether the viewer can copy the motion.</x:v>
      </x:c>
      <x:c r="AA128" t="str">
        <x:v>Use a reference image for the wire stripper and specify its grip/orientation in plain language.</x:v>
      </x:c>
      <x:c r="AB128" t="str">
        <x:v>Medium</x:v>
      </x:c>
      <x:c r="AC128" t="str"/>
      <x:c r="AD128" t="str">
        <x:v>Synthetic benchmark entry; generated clip URL should be filled after API run.</x:v>
      </x:c>
    </x:row>
    <x:row r="129">
      <x:c r="A129" t="str">
        <x:v>S022-Sora-REF</x:v>
      </x:c>
      <x:c r="B129" t="str">
        <x:v>S022</x:v>
      </x:c>
      <x:c r="C129" t="str">
        <x:v>Electrical</x:v>
      </x:c>
      <x:c r="D129" t="str">
        <x:v>wire prep</x:v>
      </x:c>
      <x:c r="E129" t="str">
        <x:v>stripping</x:v>
      </x:c>
      <x:c r="F129" t="n">
        <x:v>4</x:v>
      </x:c>
      <x:c r="G129" t="str">
        <x:v>strip three quarters of an inch of insulation from a 14-gauge wire</x:v>
      </x:c>
      <x:c r="H129" t="str">
        <x:v>wire stripper</x:v>
      </x:c>
      <x:c r="I129" t="str">
        <x:v>14-gauge copper wire</x:v>
      </x:c>
      <x:c r="J129" t="str">
        <x:v>Sora 2 Pro</x:v>
      </x:c>
      <x:c r="K129" t="str">
        <x:v>Reference-Guided</x:v>
      </x:c>
      <x:c r="L129" t="str">
        <x:v>Adds reference-tool/image cue and brand-agnostic visual constraints.</x:v>
      </x:c>
      <x:c r="M129" t="str">
        <x:v>Close-up realistic instructional DIY video: strip three quarters of an inch of insulation from a 14-gauge wire. Show wire stripper working on 14-gauge copper wire. Hands visible, stable camera, no text overlay, neutral shop lighting. Use a generic, brand-agnostic visual reference for the wire stripper; preserve the tool shape and scale; the wire stripper must remain in contact with 14-gauge copper wire during the key motion.</x:v>
      </x:c>
      <x:c r="N129" s="14" t="n">
        <x:v>8</x:v>
      </x:c>
      <x:c r="O129" s="14" t="n">
        <x:v>100221</x:v>
      </x:c>
      <x:c r="P129" t="str">
        <x:v>R-A</x:v>
      </x:c>
      <x:c r="Q129" s="12" t="n">
        <x:v>3.63</x:v>
      </x:c>
      <x:c r="R129" s="12" t="n">
        <x:v>4.08</x:v>
      </x:c>
      <x:c r="S129" s="12" t="n">
        <x:v>4.42</x:v>
      </x:c>
      <x:c r="T129" s="12" t="n">
        <x:v>4.33</x:v>
      </x:c>
      <x:c r="U129" s="12" t="n">
        <x:v>3.61</x:v>
      </x:c>
      <x:c r="V129" s="12" t="n">
        <x:v>3.85</x:v>
      </x:c>
      <x:c r="W129" s="12" t="n">
        <x:f>ROUND((Q129*0.24)+(R129*0.22)+(S129*0.16)+(T129*0.18)+(U129*0.10)+(V129*0.10),2)</x:f>
        <x:v>4</x:v>
      </x:c>
      <x:c r="X129" t="str">
        <x:f>IF(W129&gt;=3.55,"Pass","Fail")</x:f>
        <x:v>Pass</x:v>
      </x:c>
      <x:c r="Y129" t="str">
        <x:v>contact point hidden</x:v>
      </x:c>
      <x:c r="Z129" t="str">
        <x:v>QA note: I would keep this as a rough candidate. It communicates the step, although the failure mode makes it weaker than a real sourced clip: contact point hidden. I would keep the same camera angle but ask for a tighter view of the contact point. For this electrical example, the main judgment is still whether the viewer can copy the motion.</x:v>
      </x:c>
      <x:c r="AA129" t="str">
        <x:v>Break the action into start, contact, movement, and finish; ban extra tools and hand morphing.</x:v>
      </x:c>
      <x:c r="AB129" t="str">
        <x:v>Medium-High</x:v>
      </x:c>
      <x:c r="AC129" t="str"/>
      <x:c r="AD129" t="str">
        <x:v>Simulated pilot row for planning; replace with blinded ratings after generating actual clips.</x:v>
      </x:c>
    </x:row>
    <x:row r="130">
      <x:c r="A130" t="str">
        <x:v>S022-Runway-REF</x:v>
      </x:c>
      <x:c r="B130" t="str">
        <x:v>S022</x:v>
      </x:c>
      <x:c r="C130" t="str">
        <x:v>Electrical</x:v>
      </x:c>
      <x:c r="D130" t="str">
        <x:v>wire prep</x:v>
      </x:c>
      <x:c r="E130" t="str">
        <x:v>stripping</x:v>
      </x:c>
      <x:c r="F130" t="n">
        <x:v>4</x:v>
      </x:c>
      <x:c r="G130" t="str">
        <x:v>strip three quarters of an inch of insulation from a 14-gauge wire</x:v>
      </x:c>
      <x:c r="H130" t="str">
        <x:v>wire stripper</x:v>
      </x:c>
      <x:c r="I130" t="str">
        <x:v>14-gauge copper wire</x:v>
      </x:c>
      <x:c r="J130" t="str">
        <x:v>Runway Gen-4.5</x:v>
      </x:c>
      <x:c r="K130" t="str">
        <x:v>Reference-Guided</x:v>
      </x:c>
      <x:c r="L130" t="str">
        <x:v>Adds reference-tool/image cue and brand-agnostic visual constraints.</x:v>
      </x:c>
      <x:c r="M130" t="str">
        <x:v>Close-up realistic instructional DIY video: strip three quarters of an inch of insulation from a 14-gauge wire. Show wire stripper working on 14-gauge copper wire. Hands visible, stable camera, no text overlay, neutral shop lighting. Use a generic, brand-agnostic visual reference for the wire stripper; preserve the tool shape and scale; the wire stripper must remain in contact with 14-gauge copper wire during the key motion.</x:v>
      </x:c>
      <x:c r="N130" s="14" t="n">
        <x:v>5</x:v>
      </x:c>
      <x:c r="O130" s="14" t="n">
        <x:v>100222</x:v>
      </x:c>
      <x:c r="P130" t="str">
        <x:v>R-E</x:v>
      </x:c>
      <x:c r="Q130" s="12" t="n">
        <x:v>4.23</x:v>
      </x:c>
      <x:c r="R130" s="12" t="n">
        <x:v>3.48</x:v>
      </x:c>
      <x:c r="S130" s="12" t="n">
        <x:v>4.11</x:v>
      </x:c>
      <x:c r="T130" s="12" t="n">
        <x:v>3.34</x:v>
      </x:c>
      <x:c r="U130" s="12" t="n">
        <x:v>3.52</x:v>
      </x:c>
      <x:c r="V130" s="12" t="n">
        <x:v>4.02</x:v>
      </x:c>
      <x:c r="W130" s="12" t="n">
        <x:f>ROUND((Q130*0.24)+(R130*0.22)+(S130*0.16)+(T130*0.18)+(U130*0.10)+(V130*0.10),2)</x:f>
        <x:v>3.79</x:v>
      </x:c>
      <x:c r="X130" t="str">
        <x:f>IF(W130&gt;=3.55,"Pass","Fail")</x:f>
        <x:v>Pass</x:v>
      </x:c>
      <x:c r="Y130" t="str">
        <x:v>endpoint not visible</x:v>
      </x:c>
      <x:c r="Z130" t="str">
        <x:v>QA note: The clip has the right ingredients but not quite the right mechanics. It needs a tighter prompt about grip, contact, and the end position. The next prompt should slow the final second instead of adding more scene detail. For this electrical example, the main judgment is still whether the viewer can copy the motion.</x:v>
      </x:c>
      <x:c r="AA130" t="str">
        <x:v>Move safety language earlier in the prompt and remove cinematic camera instructions.</x:v>
      </x:c>
      <x:c r="AB130" t="str">
        <x:v>High</x:v>
      </x:c>
      <x:c r="AC130" t="str"/>
      <x:c r="AD130" t="str">
        <x:v>Mock rater record for experiment design; audit against real video outputs before publication.</x:v>
      </x:c>
    </x:row>
    <x:row r="131">
      <x:c r="A131" t="str">
        <x:v>S022-Kling-REF</x:v>
      </x:c>
      <x:c r="B131" t="str">
        <x:v>S022</x:v>
      </x:c>
      <x:c r="C131" t="str">
        <x:v>Electrical</x:v>
      </x:c>
      <x:c r="D131" t="str">
        <x:v>wire prep</x:v>
      </x:c>
      <x:c r="E131" t="str">
        <x:v>stripping</x:v>
      </x:c>
      <x:c r="F131" t="n">
        <x:v>4</x:v>
      </x:c>
      <x:c r="G131" t="str">
        <x:v>strip three quarters of an inch of insulation from a 14-gauge wire</x:v>
      </x:c>
      <x:c r="H131" t="str">
        <x:v>wire stripper</x:v>
      </x:c>
      <x:c r="I131" t="str">
        <x:v>14-gauge copper wire</x:v>
      </x:c>
      <x:c r="J131" t="str">
        <x:v>Kling v3.0 (Replicate)</x:v>
      </x:c>
      <x:c r="K131" t="str">
        <x:v>Reference-Guided</x:v>
      </x:c>
      <x:c r="L131" t="str">
        <x:v>Adds reference-tool/image cue and brand-agnostic visual constraints.</x:v>
      </x:c>
      <x:c r="M131" t="str">
        <x:v>Close-up realistic instructional DIY video: strip three quarters of an inch of insulation from a 14-gauge wire. Show wire stripper working on 14-gauge copper wire. Hands visible, stable camera, no text overlay, neutral shop lighting. Use a generic, brand-agnostic visual reference for the wire stripper; preserve the tool shape and scale; the wire stripper must remain in contact with 14-gauge copper wire during the key motion.</x:v>
      </x:c>
      <x:c r="N131" s="14" t="n">
        <x:v>10</x:v>
      </x:c>
      <x:c r="O131" s="14" t="n">
        <x:v>100223</x:v>
      </x:c>
      <x:c r="P131" t="str">
        <x:v>R-D</x:v>
      </x:c>
      <x:c r="Q131" s="12" t="n">
        <x:v>4.05</x:v>
      </x:c>
      <x:c r="R131" s="12" t="n">
        <x:v>3.42</x:v>
      </x:c>
      <x:c r="S131" s="12" t="n">
        <x:v>3.51</x:v>
      </x:c>
      <x:c r="T131" s="12" t="n">
        <x:v>3.97</x:v>
      </x:c>
      <x:c r="U131" s="12" t="n">
        <x:v>2.8</x:v>
      </x:c>
      <x:c r="V131" s="12" t="n">
        <x:v>3.19</x:v>
      </x:c>
      <x:c r="W131" s="12" t="n">
        <x:f>ROUND((Q131*0.24)+(R131*0.22)+(S131*0.16)+(T131*0.18)+(U131*0.10)+(V131*0.10),2)</x:f>
        <x:v>3.6</x:v>
      </x:c>
      <x:c r="X131" t="str">
        <x:f>IF(W131&gt;=3.55,"Pass","Fail")</x:f>
        <x:v>Pass</x:v>
      </x:c>
      <x:c r="Y131" t="str">
        <x:v>tool floats near object</x:v>
      </x:c>
      <x:c r="Z131" t="str">
        <x:v>Rater note: The clip has the right ingredients but not quite the right mechanics. It needs a tighter prompt about grip, contact, and the end position. The tool silhouette is acceptable; the mechanics are the weak part. For this electrical example, the main judgment is still whether the viewer can copy the motion.</x:v>
      </x:c>
      <x:c r="AA131" t="str">
        <x:v>Use sequential context only for continuity, not for adding previous/next steps into the frame.</x:v>
      </x:c>
      <x:c r="AB131" t="str">
        <x:v>High</x:v>
      </x:c>
      <x:c r="AC131" t="str"/>
      <x:c r="AD131" t="str">
        <x:v>Planning dataset only; scores are plausible placeholders, not vendor claims.</x:v>
      </x:c>
    </x:row>
    <x:row r="132">
      <x:c r="A132" t="str">
        <x:v>S022-Pika-REF</x:v>
      </x:c>
      <x:c r="B132" t="str">
        <x:v>S022</x:v>
      </x:c>
      <x:c r="C132" t="str">
        <x:v>Electrical</x:v>
      </x:c>
      <x:c r="D132" t="str">
        <x:v>wire prep</x:v>
      </x:c>
      <x:c r="E132" t="str">
        <x:v>stripping</x:v>
      </x:c>
      <x:c r="F132" t="n">
        <x:v>4</x:v>
      </x:c>
      <x:c r="G132" t="str">
        <x:v>strip three quarters of an inch of insulation from a 14-gauge wire</x:v>
      </x:c>
      <x:c r="H132" t="str">
        <x:v>wire stripper</x:v>
      </x:c>
      <x:c r="I132" t="str">
        <x:v>14-gauge copper wire</x:v>
      </x:c>
      <x:c r="J132" t="str">
        <x:v>Pika 2.2</x:v>
      </x:c>
      <x:c r="K132" t="str">
        <x:v>Reference-Guided</x:v>
      </x:c>
      <x:c r="L132" t="str">
        <x:v>Adds reference-tool/image cue and brand-agnostic visual constraints.</x:v>
      </x:c>
      <x:c r="M132" t="str">
        <x:v>Close-up realistic instructional DIY video: strip three quarters of an inch of insulation from a 14-gauge wire. Show wire stripper working on 14-gauge copper wire. Hands visible, stable camera, no text overlay, neutral shop lighting. Use a generic, brand-agnostic visual reference for the wire stripper; preserve the tool shape and scale; the wire stripper must remain in contact with 14-gauge copper wire during the key motion.</x:v>
      </x:c>
      <x:c r="N132" s="14" t="n">
        <x:v>5</x:v>
      </x:c>
      <x:c r="O132" s="14" t="n">
        <x:v>100224</x:v>
      </x:c>
      <x:c r="P132" t="str">
        <x:v>R-D</x:v>
      </x:c>
      <x:c r="Q132" s="12" t="n">
        <x:v>3.97</x:v>
      </x:c>
      <x:c r="R132" s="12" t="n">
        <x:v>3.26</x:v>
      </x:c>
      <x:c r="S132" s="12" t="n">
        <x:v>3.23</x:v>
      </x:c>
      <x:c r="T132" s="12" t="n">
        <x:v>3.63</x:v>
      </x:c>
      <x:c r="U132" s="12" t="n">
        <x:v>2.99</x:v>
      </x:c>
      <x:c r="V132" s="12" t="n">
        <x:v>3.11</x:v>
      </x:c>
      <x:c r="W132" s="12" t="n">
        <x:f>ROUND((Q132*0.24)+(R132*0.22)+(S132*0.16)+(T132*0.18)+(U132*0.10)+(V132*0.10),2)</x:f>
        <x:v>3.45</x:v>
      </x:c>
      <x:c r="X132" t="str">
        <x:f>IF(W132&gt;=3.55,"Pass","Fail")</x:f>
        <x:v>Fail</x:v>
      </x:c>
      <x:c r="Y132" t="str">
        <x:v>action starts too late</x:v>
      </x:c>
      <x:c r="Z132" t="str">
        <x:v>Review note: The generated clip loses the procedure. I would re-run with a reference frame and a stricter Action-Object-Tool prompt. The tool silhouette is acceptable; the mechanics are the weak part. For this electrical example, the main judgment is still whether the viewer can copy the motion.</x:v>
      </x:c>
      <x:c r="AA132" t="str">
        <x:v>Use a reference image for the wire stripper and specify its grip/orientation in plain language.</x:v>
      </x:c>
      <x:c r="AB132" t="str">
        <x:v>Medium-High</x:v>
      </x:c>
      <x:c r="AC132" t="str"/>
      <x:c r="AD132" t="str">
        <x:v>Simulated pilot row for planning; replace with blinded ratings after generating actual clips.</x:v>
      </x:c>
    </x:row>
    <x:row r="133">
      <x:c r="A133" t="str">
        <x:v>S022-Vidu-REF</x:v>
      </x:c>
      <x:c r="B133" t="str">
        <x:v>S022</x:v>
      </x:c>
      <x:c r="C133" t="str">
        <x:v>Electrical</x:v>
      </x:c>
      <x:c r="D133" t="str">
        <x:v>wire prep</x:v>
      </x:c>
      <x:c r="E133" t="str">
        <x:v>stripping</x:v>
      </x:c>
      <x:c r="F133" t="n">
        <x:v>4</x:v>
      </x:c>
      <x:c r="G133" t="str">
        <x:v>strip three quarters of an inch of insulation from a 14-gauge wire</x:v>
      </x:c>
      <x:c r="H133" t="str">
        <x:v>wire stripper</x:v>
      </x:c>
      <x:c r="I133" t="str">
        <x:v>14-gauge copper wire</x:v>
      </x:c>
      <x:c r="J133" t="str">
        <x:v>Vidu 2.0</x:v>
      </x:c>
      <x:c r="K133" t="str">
        <x:v>Reference-Guided</x:v>
      </x:c>
      <x:c r="L133" t="str">
        <x:v>Adds reference-tool/image cue and brand-agnostic visual constraints.</x:v>
      </x:c>
      <x:c r="M133" t="str">
        <x:v>Close-up realistic instructional DIY video: strip three quarters of an inch of insulation from a 14-gauge wire. Show wire stripper working on 14-gauge copper wire. Hands visible, stable camera, no text overlay, neutral shop lighting. Use a generic, brand-agnostic visual reference for the wire stripper; preserve the tool shape and scale; the wire stripper must remain in contact with 14-gauge copper wire during the key motion.</x:v>
      </x:c>
      <x:c r="N133" s="14" t="n">
        <x:v>5</x:v>
      </x:c>
      <x:c r="O133" s="14" t="n">
        <x:v>100225</x:v>
      </x:c>
      <x:c r="P133" t="str">
        <x:v>R-D</x:v>
      </x:c>
      <x:c r="Q133" s="12" t="n">
        <x:v>3.15</x:v>
      </x:c>
      <x:c r="R133" s="12" t="n">
        <x:v>3.28</x:v>
      </x:c>
      <x:c r="S133" s="12" t="n">
        <x:v>3.47</x:v>
      </x:c>
      <x:c r="T133" s="12" t="n">
        <x:v>3.17</x:v>
      </x:c>
      <x:c r="U133" s="12" t="n">
        <x:v>3.27</x:v>
      </x:c>
      <x:c r="V133" s="12" t="n">
        <x:v>3.32</x:v>
      </x:c>
      <x:c r="W133" s="12" t="n">
        <x:f>ROUND((Q133*0.24)+(R133*0.22)+(S133*0.16)+(T133*0.18)+(U133*0.10)+(V133*0.10),2)</x:f>
        <x:v>3.26</x:v>
      </x:c>
      <x:c r="X133" t="str">
        <x:f>IF(W133&gt;=3.55,"Pass","Fail")</x:f>
        <x:v>Fail</x:v>
      </x:c>
      <x:c r="Y133" t="str">
        <x:v>wrong grip on tool</x:v>
      </x:c>
      <x:c r="Z133" t="str">
        <x:v>Human check: Too much is being implied. The wire stripper and 14-gauge copper wire are in the scene, but the motion does not demonstrate the actual repair step. The mistake appears late, so a simple thumbnail review would probably miss it. For this electrical example, the main judgment is still whether the viewer can copy the motion.</x:v>
      </x:c>
      <x:c r="AA133" t="str">
        <x:v>Use sequential context only for continuity, not for adding previous/next steps into the frame.</x:v>
      </x:c>
      <x:c r="AB133" t="str">
        <x:v>High</x:v>
      </x:c>
      <x:c r="AC133" t="str"/>
      <x:c r="AD133" t="str">
        <x:v>Planning dataset only; scores are plausible placeholders, not vendor claims.</x:v>
      </x:c>
    </x:row>
    <x:row r="134">
      <x:c r="A134" t="str">
        <x:v>S023-Veo-SEQ</x:v>
      </x:c>
      <x:c r="B134" t="str">
        <x:v>S023</x:v>
      </x:c>
      <x:c r="C134" t="str">
        <x:v>Electrical</x:v>
      </x:c>
      <x:c r="D134" t="str">
        <x:v>device wiring</x:v>
      </x:c>
      <x:c r="E134" t="str">
        <x:v>connecting</x:v>
      </x:c>
      <x:c r="F134" t="n">
        <x:v>5</x:v>
      </x:c>
      <x:c r="G134" t="str">
        <x:v>hook a black wire clockwise around a brass receptacle screw</x:v>
      </x:c>
      <x:c r="H134" t="str">
        <x:v>needle-nose pliers</x:v>
      </x:c>
      <x:c r="I134" t="str">
        <x:v>receptacle, black wire, brass screw</x:v>
      </x:c>
      <x:c r="J134" t="str">
        <x:v>Veo 3.1</x:v>
      </x:c>
      <x:c r="K134" t="str">
        <x:v>Sequential Context</x:v>
      </x:c>
      <x:c r="L134" t="str">
        <x:v>Provides previous and next step for continuity without asking for them to appear.</x:v>
      </x:c>
      <x:c r="M134" t="str">
        <x:v>Close-up realistic instructional DIY video: hook a black wire clockwise around a brass receptacle screw. Show needle-nose pliers working on receptacle, black wire, brass screw. Hands visible, stable camera, no text overlay, neutral shop lighting. This is the middle clip in a sequence. Previous step has already prepared the work area; next step will verify the result. Keep the same workpiece, camera distance, and hand orientation.</x:v>
      </x:c>
      <x:c r="N134" s="14" t="n">
        <x:v>8</x:v>
      </x:c>
      <x:c r="O134" s="14" t="n">
        <x:v>100230</x:v>
      </x:c>
      <x:c r="P134" t="str">
        <x:v>R-E</x:v>
      </x:c>
      <x:c r="Q134" s="12" t="n">
        <x:v>3.48</x:v>
      </x:c>
      <x:c r="R134" s="12" t="n">
        <x:v>3.84</x:v>
      </x:c>
      <x:c r="S134" s="12" t="n">
        <x:v>3.65</x:v>
      </x:c>
      <x:c r="T134" s="12" t="n">
        <x:v>3.2</x:v>
      </x:c>
      <x:c r="U134" s="12" t="n">
        <x:v>3.34</x:v>
      </x:c>
      <x:c r="V134" s="12" t="n">
        <x:v>3.82</x:v>
      </x:c>
      <x:c r="W134" s="12" t="n">
        <x:f>ROUND((Q134*0.24)+(R134*0.22)+(S134*0.16)+(T134*0.18)+(U134*0.10)+(V134*0.10),2)</x:f>
        <x:v>3.56</x:v>
      </x:c>
      <x:c r="X134" t="str">
        <x:f>IF(W134&gt;=3.55,"Pass","Fail")</x:f>
        <x:v>Pass</x:v>
      </x:c>
      <x:c r="Y134" t="str">
        <x:v>action starts too late</x:v>
      </x:c>
      <x:c r="Z134" t="str">
        <x:v>Clip review: Usable, but I would not show it without review. The needle-nose pliers is recognizable, yet the exact contact point is hard to see when the hand crosses the frame. The next prompt should slow the final second instead of adding more scene detail. Continuity is useful here, but it cannot replace showing the actual contact point.</x:v>
      </x:c>
      <x:c r="AA134" t="str">
        <x:v>Ask for a static close-up and require the needle-nose pliers to touch the receptacle, black wire, brass screw before any motion starts.</x:v>
      </x:c>
      <x:c r="AB134" t="str">
        <x:v>Medium-High</x:v>
      </x:c>
      <x:c r="AC134" t="str"/>
      <x:c r="AD134" t="str">
        <x:v>Planning dataset only; scores are plausible placeholders, not vendor claims.</x:v>
      </x:c>
    </x:row>
    <x:row r="135">
      <x:c r="A135" t="str">
        <x:v>S023-Sora-SEQ</x:v>
      </x:c>
      <x:c r="B135" t="str">
        <x:v>S023</x:v>
      </x:c>
      <x:c r="C135" t="str">
        <x:v>Electrical</x:v>
      </x:c>
      <x:c r="D135" t="str">
        <x:v>device wiring</x:v>
      </x:c>
      <x:c r="E135" t="str">
        <x:v>connecting</x:v>
      </x:c>
      <x:c r="F135" t="n">
        <x:v>5</x:v>
      </x:c>
      <x:c r="G135" t="str">
        <x:v>hook a black wire clockwise around a brass receptacle screw</x:v>
      </x:c>
      <x:c r="H135" t="str">
        <x:v>needle-nose pliers</x:v>
      </x:c>
      <x:c r="I135" t="str">
        <x:v>receptacle, black wire, brass screw</x:v>
      </x:c>
      <x:c r="J135" t="str">
        <x:v>Sora 2 Pro</x:v>
      </x:c>
      <x:c r="K135" t="str">
        <x:v>Sequential Context</x:v>
      </x:c>
      <x:c r="L135" t="str">
        <x:v>Provides previous and next step for continuity without asking for them to appear.</x:v>
      </x:c>
      <x:c r="M135" t="str">
        <x:v>Close-up realistic instructional DIY video: hook a black wire clockwise around a brass receptacle screw. Show needle-nose pliers working on receptacle, black wire, brass screw. Hands visible, stable camera, no text overlay, neutral shop lighting. This is the middle clip in a sequence. Previous step has already prepared the work area; next step will verify the result. Keep the same workpiece, camera distance, and hand orientation.</x:v>
      </x:c>
      <x:c r="N135" s="14" t="n">
        <x:v>8</x:v>
      </x:c>
      <x:c r="O135" s="14" t="n">
        <x:v>100231</x:v>
      </x:c>
      <x:c r="P135" t="str">
        <x:v>R-D</x:v>
      </x:c>
      <x:c r="Q135" s="12" t="n">
        <x:v>4.3</x:v>
      </x:c>
      <x:c r="R135" s="12" t="n">
        <x:v>3.89</x:v>
      </x:c>
      <x:c r="S135" s="12" t="n">
        <x:v>3.59</x:v>
      </x:c>
      <x:c r="T135" s="12" t="n">
        <x:v>3.72</x:v>
      </x:c>
      <x:c r="U135" s="12" t="n">
        <x:v>3.54</x:v>
      </x:c>
      <x:c r="V135" s="12" t="n">
        <x:v>4.01</x:v>
      </x:c>
      <x:c r="W135" s="12" t="n">
        <x:f>ROUND((Q135*0.24)+(R135*0.22)+(S135*0.16)+(T135*0.18)+(U135*0.10)+(V135*0.10),2)</x:f>
        <x:v>3.89</x:v>
      </x:c>
      <x:c r="X135" t="str">
        <x:f>IF(W135&gt;=3.55,"Pass","Fail")</x:f>
        <x:v>Pass</x:v>
      </x:c>
      <x:c r="Y135" t="str">
        <x:v>minor continuity jump</x:v>
      </x:c>
      <x:c r="Z135" t="str">
        <x:v>Review note: The clip has the right ingredients but not quite the right mechanics. It needs a tighter prompt about grip, contact, and the end position. I would keep the same camera angle but ask for a tighter view of the contact point. Continuity is useful here, but it cannot replace showing the actual contact point.</x:v>
      </x:c>
      <x:c r="AA135" t="str">
        <x:v>Ask for a static close-up and require the needle-nose pliers to touch the receptacle, black wire, brass screw before any motion starts.</x:v>
      </x:c>
      <x:c r="AB135" t="str">
        <x:v>Medium-High</x:v>
      </x:c>
      <x:c r="AC135" t="str"/>
      <x:c r="AD135" t="str">
        <x:v>Mock rater record for experiment design; audit against real video outputs before publication.</x:v>
      </x:c>
    </x:row>
    <x:row r="136">
      <x:c r="A136" t="str">
        <x:v>S023-Runway-SEQ</x:v>
      </x:c>
      <x:c r="B136" t="str">
        <x:v>S023</x:v>
      </x:c>
      <x:c r="C136" t="str">
        <x:v>Electrical</x:v>
      </x:c>
      <x:c r="D136" t="str">
        <x:v>device wiring</x:v>
      </x:c>
      <x:c r="E136" t="str">
        <x:v>connecting</x:v>
      </x:c>
      <x:c r="F136" t="n">
        <x:v>5</x:v>
      </x:c>
      <x:c r="G136" t="str">
        <x:v>hook a black wire clockwise around a brass receptacle screw</x:v>
      </x:c>
      <x:c r="H136" t="str">
        <x:v>needle-nose pliers</x:v>
      </x:c>
      <x:c r="I136" t="str">
        <x:v>receptacle, black wire, brass screw</x:v>
      </x:c>
      <x:c r="J136" t="str">
        <x:v>Runway Gen-4.5</x:v>
      </x:c>
      <x:c r="K136" t="str">
        <x:v>Sequential Context</x:v>
      </x:c>
      <x:c r="L136" t="str">
        <x:v>Provides previous and next step for continuity without asking for them to appear.</x:v>
      </x:c>
      <x:c r="M136" t="str">
        <x:v>Close-up realistic instructional DIY video: hook a black wire clockwise around a brass receptacle screw. Show needle-nose pliers working on receptacle, black wire, brass screw. Hands visible, stable camera, no text overlay, neutral shop lighting. This is the middle clip in a sequence. Previous step has already prepared the work area; next step will verify the result. Keep the same workpiece, camera distance, and hand orientation.</x:v>
      </x:c>
      <x:c r="N136" s="14" t="n">
        <x:v>5</x:v>
      </x:c>
      <x:c r="O136" s="14" t="n">
        <x:v>100232</x:v>
      </x:c>
      <x:c r="P136" t="str">
        <x:v>R-D</x:v>
      </x:c>
      <x:c r="Q136" s="12" t="n">
        <x:v>3.53</x:v>
      </x:c>
      <x:c r="R136" s="12" t="n">
        <x:v>4.46</x:v>
      </x:c>
      <x:c r="S136" s="12" t="n">
        <x:v>3.98</x:v>
      </x:c>
      <x:c r="T136" s="12" t="n">
        <x:v>3.59</x:v>
      </x:c>
      <x:c r="U136" s="12" t="n">
        <x:v>3.57</x:v>
      </x:c>
      <x:c r="V136" s="12" t="n">
        <x:v>3.27</x:v>
      </x:c>
      <x:c r="W136" s="12" t="n">
        <x:f>ROUND((Q136*0.24)+(R136*0.22)+(S136*0.16)+(T136*0.18)+(U136*0.10)+(V136*0.10),2)</x:f>
        <x:v>3.8</x:v>
      </x:c>
      <x:c r="X136" t="str">
        <x:f>IF(W136&gt;=3.55,"Pass","Fail")</x:f>
        <x:v>Pass</x:v>
      </x:c>
      <x:c r="Y136" t="str">
        <x:v>force/torque reads wrong</x:v>
      </x:c>
      <x:c r="Z136" t="str">
        <x:v>Review note: The clip has the right ingredients but not quite the right mechanics. It needs a tighter prompt about grip, contact, and the end position. I marked it down for the key moment rather than the opening setup. Continuity is useful here, but it cannot replace showing the actual contact point.</x:v>
      </x:c>
      <x:c r="AA136" t="str">
        <x:v>Use a reference image for the needle-nose pliers and specify its grip/orientation in plain language.</x:v>
      </x:c>
      <x:c r="AB136" t="str">
        <x:v>Medium-High</x:v>
      </x:c>
      <x:c r="AC136" t="str"/>
      <x:c r="AD136" t="str">
        <x:v>Mock rater record for experiment design; audit against real video outputs before publication.</x:v>
      </x:c>
    </x:row>
    <x:row r="137">
      <x:c r="A137" t="str">
        <x:v>S023-Kling-SEQ</x:v>
      </x:c>
      <x:c r="B137" t="str">
        <x:v>S023</x:v>
      </x:c>
      <x:c r="C137" t="str">
        <x:v>Electrical</x:v>
      </x:c>
      <x:c r="D137" t="str">
        <x:v>device wiring</x:v>
      </x:c>
      <x:c r="E137" t="str">
        <x:v>connecting</x:v>
      </x:c>
      <x:c r="F137" t="n">
        <x:v>5</x:v>
      </x:c>
      <x:c r="G137" t="str">
        <x:v>hook a black wire clockwise around a brass receptacle screw</x:v>
      </x:c>
      <x:c r="H137" t="str">
        <x:v>needle-nose pliers</x:v>
      </x:c>
      <x:c r="I137" t="str">
        <x:v>receptacle, black wire, brass screw</x:v>
      </x:c>
      <x:c r="J137" t="str">
        <x:v>Kling v3.0 (Replicate)</x:v>
      </x:c>
      <x:c r="K137" t="str">
        <x:v>Sequential Context</x:v>
      </x:c>
      <x:c r="L137" t="str">
        <x:v>Provides previous and next step for continuity without asking for them to appear.</x:v>
      </x:c>
      <x:c r="M137" t="str">
        <x:v>Close-up realistic instructional DIY video: hook a black wire clockwise around a brass receptacle screw. Show needle-nose pliers working on receptacle, black wire, brass screw. Hands visible, stable camera, no text overlay, neutral shop lighting. This is the middle clip in a sequence. Previous step has already prepared the work area; next step will verify the result. Keep the same workpiece, camera distance, and hand orientation.</x:v>
      </x:c>
      <x:c r="N137" s="14" t="n">
        <x:v>10</x:v>
      </x:c>
      <x:c r="O137" s="14" t="n">
        <x:v>100233</x:v>
      </x:c>
      <x:c r="P137" t="str">
        <x:v>R-E</x:v>
      </x:c>
      <x:c r="Q137" s="12" t="n">
        <x:v>3.02</x:v>
      </x:c>
      <x:c r="R137" s="12" t="n">
        <x:v>4.39</x:v>
      </x:c>
      <x:c r="S137" s="12" t="n">
        <x:v>3.11</x:v>
      </x:c>
      <x:c r="T137" s="12" t="n">
        <x:v>3.6</x:v>
      </x:c>
      <x:c r="U137" s="12" t="n">
        <x:v>3.36</x:v>
      </x:c>
      <x:c r="V137" s="12" t="n">
        <x:v>3.52</x:v>
      </x:c>
      <x:c r="W137" s="12" t="n">
        <x:f>ROUND((Q137*0.24)+(R137*0.22)+(S137*0.16)+(T137*0.18)+(U137*0.10)+(V137*0.10),2)</x:f>
        <x:v>3.52</x:v>
      </x:c>
      <x:c r="X137" t="str">
        <x:f>IF(W137&gt;=3.55,"Pass","Fail")</x:f>
        <x:v>Fail</x:v>
      </x:c>
      <x:c r="Y137" t="str">
        <x:v>wrong grip on tool</x:v>
      </x:c>
      <x:c r="Z137" t="str">
        <x:v>Rater note: A reviewer would likely reject this. It may be visually attractive, but the tool/object relationship breaks during the important moment. The prompt should prioritize hand path over cinematic lighting. Continuity is useful here, but it cannot replace showing the actual contact point.</x:v>
      </x:c>
      <x:c r="AA137" t="str">
        <x:v>Ask for a static close-up and require the needle-nose pliers to touch the receptacle, black wire, brass screw before any motion starts.</x:v>
      </x:c>
      <x:c r="AB137" t="str">
        <x:v>Medium</x:v>
      </x:c>
      <x:c r="AC137" t="str"/>
      <x:c r="AD137" t="str">
        <x:v>Simulated pilot row for planning; replace with blinded ratings after generating actual clips.</x:v>
      </x:c>
    </x:row>
    <x:row r="138">
      <x:c r="A138" t="str">
        <x:v>S023-Pika-SEQ</x:v>
      </x:c>
      <x:c r="B138" t="str">
        <x:v>S023</x:v>
      </x:c>
      <x:c r="C138" t="str">
        <x:v>Electrical</x:v>
      </x:c>
      <x:c r="D138" t="str">
        <x:v>device wiring</x:v>
      </x:c>
      <x:c r="E138" t="str">
        <x:v>connecting</x:v>
      </x:c>
      <x:c r="F138" t="n">
        <x:v>5</x:v>
      </x:c>
      <x:c r="G138" t="str">
        <x:v>hook a black wire clockwise around a brass receptacle screw</x:v>
      </x:c>
      <x:c r="H138" t="str">
        <x:v>needle-nose pliers</x:v>
      </x:c>
      <x:c r="I138" t="str">
        <x:v>receptacle, black wire, brass screw</x:v>
      </x:c>
      <x:c r="J138" t="str">
        <x:v>Pika 2.2</x:v>
      </x:c>
      <x:c r="K138" t="str">
        <x:v>Sequential Context</x:v>
      </x:c>
      <x:c r="L138" t="str">
        <x:v>Provides previous and next step for continuity without asking for them to appear.</x:v>
      </x:c>
      <x:c r="M138" t="str">
        <x:v>Close-up realistic instructional DIY video: hook a black wire clockwise around a brass receptacle screw. Show needle-nose pliers working on receptacle, black wire, brass screw. Hands visible, stable camera, no text overlay, neutral shop lighting. This is the middle clip in a sequence. Previous step has already prepared the work area; next step will verify the result. Keep the same workpiece, camera distance, and hand orientation.</x:v>
      </x:c>
      <x:c r="N138" s="14" t="n">
        <x:v>5</x:v>
      </x:c>
      <x:c r="O138" s="14" t="n">
        <x:v>100234</x:v>
      </x:c>
      <x:c r="P138" t="str">
        <x:v>R-C</x:v>
      </x:c>
      <x:c r="Q138" s="12" t="n">
        <x:v>3.06</x:v>
      </x:c>
      <x:c r="R138" s="12" t="n">
        <x:v>3.32</x:v>
      </x:c>
      <x:c r="S138" s="12" t="n">
        <x:v>2.89</x:v>
      </x:c>
      <x:c r="T138" s="12" t="n">
        <x:v>4.09</x:v>
      </x:c>
      <x:c r="U138" s="12" t="n">
        <x:v>2.98</x:v>
      </x:c>
      <x:c r="V138" s="12" t="n">
        <x:v>3.38</x:v>
      </x:c>
      <x:c r="W138" s="12" t="n">
        <x:f>ROUND((Q138*0.24)+(R138*0.22)+(S138*0.16)+(T138*0.18)+(U138*0.10)+(V138*0.10),2)</x:f>
        <x:v>3.3</x:v>
      </x:c>
      <x:c r="X138" t="str">
        <x:f>IF(W138&gt;=3.55,"Pass","Fail")</x:f>
        <x:v>Fail</x:v>
      </x:c>
      <x:c r="Y138" t="str">
        <x:v>action starts too late</x:v>
      </x:c>
      <x:c r="Z138" t="str">
        <x:v>QA note: The generated clip loses the procedure. I would re-run with a reference frame and a stricter Action-Object-Tool prompt. The clip needs a verifier pass before it can enter the training pool. Continuity is useful here, but it cannot replace showing the actual contact point.</x:v>
      </x:c>
      <x:c r="AA138" t="str">
        <x:v>Ask for a static close-up and require the needle-nose pliers to touch the receptacle, black wire, brass screw before any motion starts.</x:v>
      </x:c>
      <x:c r="AB138" t="str">
        <x:v>Medium</x:v>
      </x:c>
      <x:c r="AC138" t="str"/>
      <x:c r="AD138" t="str">
        <x:v>Planning dataset only; scores are plausible placeholders, not vendor claims.</x:v>
      </x:c>
    </x:row>
    <x:row r="139">
      <x:c r="A139" t="str">
        <x:v>S023-Vidu-SEQ</x:v>
      </x:c>
      <x:c r="B139" t="str">
        <x:v>S023</x:v>
      </x:c>
      <x:c r="C139" t="str">
        <x:v>Electrical</x:v>
      </x:c>
      <x:c r="D139" t="str">
        <x:v>device wiring</x:v>
      </x:c>
      <x:c r="E139" t="str">
        <x:v>connecting</x:v>
      </x:c>
      <x:c r="F139" t="n">
        <x:v>5</x:v>
      </x:c>
      <x:c r="G139" t="str">
        <x:v>hook a black wire clockwise around a brass receptacle screw</x:v>
      </x:c>
      <x:c r="H139" t="str">
        <x:v>needle-nose pliers</x:v>
      </x:c>
      <x:c r="I139" t="str">
        <x:v>receptacle, black wire, brass screw</x:v>
      </x:c>
      <x:c r="J139" t="str">
        <x:v>Vidu 2.0</x:v>
      </x:c>
      <x:c r="K139" t="str">
        <x:v>Sequential Context</x:v>
      </x:c>
      <x:c r="L139" t="str">
        <x:v>Provides previous and next step for continuity without asking for them to appear.</x:v>
      </x:c>
      <x:c r="M139" t="str">
        <x:v>Close-up realistic instructional DIY video: hook a black wire clockwise around a brass receptacle screw. Show needle-nose pliers working on receptacle, black wire, brass screw. Hands visible, stable camera, no text overlay, neutral shop lighting. This is the middle clip in a sequence. Previous step has already prepared the work area; next step will verify the result. Keep the same workpiece, camera distance, and hand orientation.</x:v>
      </x:c>
      <x:c r="N139" s="14" t="n">
        <x:v>5</x:v>
      </x:c>
      <x:c r="O139" s="14" t="n">
        <x:v>100235</x:v>
      </x:c>
      <x:c r="P139" t="str">
        <x:v>R-E</x:v>
      </x:c>
      <x:c r="Q139" s="12" t="n">
        <x:v>2.98</x:v>
      </x:c>
      <x:c r="R139" s="12" t="n">
        <x:v>2.9</x:v>
      </x:c>
      <x:c r="S139" s="12" t="n">
        <x:v>3.07</x:v>
      </x:c>
      <x:c r="T139" s="12" t="n">
        <x:v>3.53</x:v>
      </x:c>
      <x:c r="U139" s="12" t="n">
        <x:v>3.12</x:v>
      </x:c>
      <x:c r="V139" s="12" t="n">
        <x:v>3.15</x:v>
      </x:c>
      <x:c r="W139" s="12" t="n">
        <x:f>ROUND((Q139*0.24)+(R139*0.22)+(S139*0.16)+(T139*0.18)+(U139*0.10)+(V139*0.10),2)</x:f>
        <x:v>3.11</x:v>
      </x:c>
      <x:c r="X139" t="str">
        <x:f>IF(W139&gt;=3.55,"Pass","Fail")</x:f>
        <x:v>Fail</x:v>
      </x:c>
      <x:c r="Y139" t="str">
        <x:v>over-stylized texture</x:v>
      </x:c>
      <x:c r="Z139" t="str">
        <x:v>Rater note: This should fail the instructional bar. The model gestures toward the task, but the failure mode prevents a learner from trusting the technique: over-stylized texture. I marked it down for the key moment rather than the opening setup. Continuity is useful here, but it cannot replace showing the actual contact point.</x:v>
      </x:c>
      <x:c r="AA139" t="str">
        <x:v>Move safety language earlier in the prompt and remove cinematic camera instructions.</x:v>
      </x:c>
      <x:c r="AB139" t="str">
        <x:v>Medium-High</x:v>
      </x:c>
      <x:c r="AC139" t="str"/>
      <x:c r="AD139" t="str">
        <x:v>Planning dataset only; scores are plausible placeholders, not vendor claims.</x:v>
      </x:c>
    </x:row>
    <x:row r="140">
      <x:c r="A140" t="str">
        <x:v>S024-Veo-CON</x:v>
      </x:c>
      <x:c r="B140" t="str">
        <x:v>S024</x:v>
      </x:c>
      <x:c r="C140" t="str">
        <x:v>Electrical</x:v>
      </x:c>
      <x:c r="D140" t="str">
        <x:v>device wiring</x:v>
      </x:c>
      <x:c r="E140" t="str">
        <x:v>tightening</x:v>
      </x:c>
      <x:c r="F140" t="n">
        <x:v>4</x:v>
      </x:c>
      <x:c r="G140" t="str">
        <x:v>tighten a terminal screw while the wire loop stays under the screw head</x:v>
      </x:c>
      <x:c r="H140" t="str">
        <x:v>screwdriver</x:v>
      </x:c>
      <x:c r="I140" t="str">
        <x:v>receptacle terminal</x:v>
      </x:c>
      <x:c r="J140" t="str">
        <x:v>Veo 3.1</x:v>
      </x:c>
      <x:c r="K140" t="str">
        <x:v>Constraint-Rich Negative Prompt</x:v>
      </x:c>
      <x:c r="L140" t="str">
        <x:v>Adds concise no-floating-tools/no-extra-objects/no-morphing constraints.</x:v>
      </x:c>
      <x:c r="M140" t="str">
        <x:v>Close-up realistic instructional DIY video: tighten a terminal screw while the wire loop stays under the screw head. Show screwdriver working on receptacle terminal. Hands visible, stable camera, no text overlay, neutral shop lighting. Constraints: no floating tools, no extra tools, no morphing hands, no reversed motion, no impossible deformation, no dramatic camera spin. Keep the full action legible.</x:v>
      </x:c>
      <x:c r="N140" s="14" t="n">
        <x:v>8</x:v>
      </x:c>
      <x:c r="O140" s="14" t="n">
        <x:v>100240</x:v>
      </x:c>
      <x:c r="P140" t="str">
        <x:v>R-B</x:v>
      </x:c>
      <x:c r="Q140" s="12" t="n">
        <x:v>3.76</x:v>
      </x:c>
      <x:c r="R140" s="12" t="n">
        <x:v>3.99</x:v>
      </x:c>
      <x:c r="S140" s="12" t="n">
        <x:v>4.26</x:v>
      </x:c>
      <x:c r="T140" s="12" t="n">
        <x:v>4.67</x:v>
      </x:c>
      <x:c r="U140" s="12" t="n">
        <x:v>4</x:v>
      </x:c>
      <x:c r="V140" s="12" t="n">
        <x:v>3.95</x:v>
      </x:c>
      <x:c r="W140" s="12" t="n">
        <x:f>ROUND((Q140*0.24)+(R140*0.22)+(S140*0.16)+(T140*0.18)+(U140*0.10)+(V140*0.10),2)</x:f>
        <x:v>4.1</x:v>
      </x:c>
      <x:c r="X140" t="str">
        <x:f>IF(W140&gt;=3.55,"Pass","Fail")</x:f>
        <x:v>Pass</x:v>
      </x:c>
      <x:c r="Y140" t="str">
        <x:v>contact point hidden</x:v>
      </x:c>
      <x:c r="Z140" t="str">
        <x:v>Rater note: The clip has the right ingredients but not quite the right mechanics. It needs a tighter prompt about grip, contact, and the end position. I marked it down for the key moment rather than the opening setup. The negative constraints help, but they do not fully solve the mechanics.</x:v>
      </x:c>
      <x:c r="AA140" t="str">
        <x:v>Use a reference image for the screwdriver and specify its grip/orientation in plain language.</x:v>
      </x:c>
      <x:c r="AB140" t="str">
        <x:v>High</x:v>
      </x:c>
      <x:c r="AC140" t="str"/>
      <x:c r="AD140" t="str">
        <x:v>Synthetic benchmark entry; generated clip URL should be filled after API run.</x:v>
      </x:c>
    </x:row>
    <x:row r="141">
      <x:c r="A141" t="str">
        <x:v>S024-Sora-CON</x:v>
      </x:c>
      <x:c r="B141" t="str">
        <x:v>S024</x:v>
      </x:c>
      <x:c r="C141" t="str">
        <x:v>Electrical</x:v>
      </x:c>
      <x:c r="D141" t="str">
        <x:v>device wiring</x:v>
      </x:c>
      <x:c r="E141" t="str">
        <x:v>tightening</x:v>
      </x:c>
      <x:c r="F141" t="n">
        <x:v>4</x:v>
      </x:c>
      <x:c r="G141" t="str">
        <x:v>tighten a terminal screw while the wire loop stays under the screw head</x:v>
      </x:c>
      <x:c r="H141" t="str">
        <x:v>screwdriver</x:v>
      </x:c>
      <x:c r="I141" t="str">
        <x:v>receptacle terminal</x:v>
      </x:c>
      <x:c r="J141" t="str">
        <x:v>Sora 2 Pro</x:v>
      </x:c>
      <x:c r="K141" t="str">
        <x:v>Constraint-Rich Negative Prompt</x:v>
      </x:c>
      <x:c r="L141" t="str">
        <x:v>Adds concise no-floating-tools/no-extra-objects/no-morphing constraints.</x:v>
      </x:c>
      <x:c r="M141" t="str">
        <x:v>Close-up realistic instructional DIY video: tighten a terminal screw while the wire loop stays under the screw head. Show screwdriver working on receptacle terminal. Hands visible, stable camera, no text overlay, neutral shop lighting. Constraints: no floating tools, no extra tools, no morphing hands, no reversed motion, no impossible deformation, no dramatic camera spin. Keep the full action legible.</x:v>
      </x:c>
      <x:c r="N141" s="14" t="n">
        <x:v>8</x:v>
      </x:c>
      <x:c r="O141" s="14" t="n">
        <x:v>100241</x:v>
      </x:c>
      <x:c r="P141" t="str">
        <x:v>R-A</x:v>
      </x:c>
      <x:c r="Q141" s="12" t="n">
        <x:v>3.93</x:v>
      </x:c>
      <x:c r="R141" s="12" t="n">
        <x:v>3.91</x:v>
      </x:c>
      <x:c r="S141" s="12" t="n">
        <x:v>4.32</x:v>
      </x:c>
      <x:c r="T141" s="12" t="n">
        <x:v>4.1</x:v>
      </x:c>
      <x:c r="U141" s="12" t="n">
        <x:v>3.85</x:v>
      </x:c>
      <x:c r="V141" s="12" t="n">
        <x:v>4.31</x:v>
      </x:c>
      <x:c r="W141" s="12" t="n">
        <x:f>ROUND((Q141*0.24)+(R141*0.22)+(S141*0.16)+(T141*0.18)+(U141*0.10)+(V141*0.10),2)</x:f>
        <x:v>4.05</x:v>
      </x:c>
      <x:c r="X141" t="str">
        <x:f>IF(W141&gt;=3.55,"Pass","Fail")</x:f>
        <x:v>Pass</x:v>
      </x:c>
      <x:c r="Y141" t="str">
        <x:v>minor continuity jump</x:v>
      </x:c>
      <x:c r="Z141" t="str">
        <x:v>Review note: Looks plausible at first glance. On a second pass, the receptacle terminal shifts slightly and the model seems to infer the outcome rather than show the full tightening. I marked it down for the key moment rather than the opening setup. The negative constraints help, but they do not fully solve the mechanics.</x:v>
      </x:c>
      <x:c r="AA141" t="str">
        <x:v>Use sequential context only for continuity, not for adding previous/next steps into the frame.</x:v>
      </x:c>
      <x:c r="AB141" t="str">
        <x:v>Medium-High</x:v>
      </x:c>
      <x:c r="AC141" t="str"/>
      <x:c r="AD141" t="str">
        <x:v>Mock rater record for experiment design; audit against real video outputs before publication.</x:v>
      </x:c>
    </x:row>
    <x:row r="142">
      <x:c r="A142" t="str">
        <x:v>S024-Runway-CON</x:v>
      </x:c>
      <x:c r="B142" t="str">
        <x:v>S024</x:v>
      </x:c>
      <x:c r="C142" t="str">
        <x:v>Electrical</x:v>
      </x:c>
      <x:c r="D142" t="str">
        <x:v>device wiring</x:v>
      </x:c>
      <x:c r="E142" t="str">
        <x:v>tightening</x:v>
      </x:c>
      <x:c r="F142" t="n">
        <x:v>4</x:v>
      </x:c>
      <x:c r="G142" t="str">
        <x:v>tighten a terminal screw while the wire loop stays under the screw head</x:v>
      </x:c>
      <x:c r="H142" t="str">
        <x:v>screwdriver</x:v>
      </x:c>
      <x:c r="I142" t="str">
        <x:v>receptacle terminal</x:v>
      </x:c>
      <x:c r="J142" t="str">
        <x:v>Runway Gen-4.5</x:v>
      </x:c>
      <x:c r="K142" t="str">
        <x:v>Constraint-Rich Negative Prompt</x:v>
      </x:c>
      <x:c r="L142" t="str">
        <x:v>Adds concise no-floating-tools/no-extra-objects/no-morphing constraints.</x:v>
      </x:c>
      <x:c r="M142" t="str">
        <x:v>Close-up realistic instructional DIY video: tighten a terminal screw while the wire loop stays under the screw head. Show screwdriver working on receptacle terminal. Hands visible, stable camera, no text overlay, neutral shop lighting. Constraints: no floating tools, no extra tools, no morphing hands, no reversed motion, no impossible deformation, no dramatic camera spin. Keep the full action legible.</x:v>
      </x:c>
      <x:c r="N142" s="14" t="n">
        <x:v>5</x:v>
      </x:c>
      <x:c r="O142" s="14" t="n">
        <x:v>100242</x:v>
      </x:c>
      <x:c r="P142" t="str">
        <x:v>R-E</x:v>
      </x:c>
      <x:c r="Q142" s="12" t="n">
        <x:v>3.58</x:v>
      </x:c>
      <x:c r="R142" s="12" t="n">
        <x:v>3.6</x:v>
      </x:c>
      <x:c r="S142" s="12" t="n">
        <x:v>3.35</x:v>
      </x:c>
      <x:c r="T142" s="12" t="n">
        <x:v>3.46</x:v>
      </x:c>
      <x:c r="U142" s="12" t="n">
        <x:v>3.73</x:v>
      </x:c>
      <x:c r="V142" s="12" t="n">
        <x:v>4.19</x:v>
      </x:c>
      <x:c r="W142" s="12" t="n">
        <x:f>ROUND((Q142*0.24)+(R142*0.22)+(S142*0.16)+(T142*0.18)+(U142*0.10)+(V142*0.10),2)</x:f>
        <x:v>3.6</x:v>
      </x:c>
      <x:c r="X142" t="str">
        <x:f>IF(W142&gt;=3.55,"Pass","Fail")</x:f>
        <x:v>Pass</x:v>
      </x:c>
      <x:c r="Y142" t="str">
        <x:v>thread direction unclear</x:v>
      </x:c>
      <x:c r="Z142" t="str">
        <x:v>Rater note: The clip has the right ingredients but not quite the right mechanics. It needs a tighter prompt about grip, contact, and the end position. I would keep the same camera angle but ask for a tighter view of the contact point. The negative constraints help, but they do not fully solve the mechanics.</x:v>
      </x:c>
      <x:c r="AA142" t="str">
        <x:v>Use sequential context only for continuity, not for adding previous/next steps into the frame.</x:v>
      </x:c>
      <x:c r="AB142" t="str">
        <x:v>Medium-High</x:v>
      </x:c>
      <x:c r="AC142" t="str"/>
      <x:c r="AD142" t="str">
        <x:v>Synthetic benchmark entry; generated clip URL should be filled after API run.</x:v>
      </x:c>
    </x:row>
    <x:row r="143">
      <x:c r="A143" t="str">
        <x:v>S024-Kling-CON</x:v>
      </x:c>
      <x:c r="B143" t="str">
        <x:v>S024</x:v>
      </x:c>
      <x:c r="C143" t="str">
        <x:v>Electrical</x:v>
      </x:c>
      <x:c r="D143" t="str">
        <x:v>device wiring</x:v>
      </x:c>
      <x:c r="E143" t="str">
        <x:v>tightening</x:v>
      </x:c>
      <x:c r="F143" t="n">
        <x:v>4</x:v>
      </x:c>
      <x:c r="G143" t="str">
        <x:v>tighten a terminal screw while the wire loop stays under the screw head</x:v>
      </x:c>
      <x:c r="H143" t="str">
        <x:v>screwdriver</x:v>
      </x:c>
      <x:c r="I143" t="str">
        <x:v>receptacle terminal</x:v>
      </x:c>
      <x:c r="J143" t="str">
        <x:v>Kling v3.0 (Replicate)</x:v>
      </x:c>
      <x:c r="K143" t="str">
        <x:v>Constraint-Rich Negative Prompt</x:v>
      </x:c>
      <x:c r="L143" t="str">
        <x:v>Adds concise no-floating-tools/no-extra-objects/no-morphing constraints.</x:v>
      </x:c>
      <x:c r="M143" t="str">
        <x:v>Close-up realistic instructional DIY video: tighten a terminal screw while the wire loop stays under the screw head. Show screwdriver working on receptacle terminal. Hands visible, stable camera, no text overlay, neutral shop lighting. Constraints: no floating tools, no extra tools, no morphing hands, no reversed motion, no impossible deformation, no dramatic camera spin. Keep the full action legible.</x:v>
      </x:c>
      <x:c r="N143" s="14" t="n">
        <x:v>10</x:v>
      </x:c>
      <x:c r="O143" s="14" t="n">
        <x:v>100243</x:v>
      </x:c>
      <x:c r="P143" t="str">
        <x:v>R-E</x:v>
      </x:c>
      <x:c r="Q143" s="12" t="n">
        <x:v>3.31</x:v>
      </x:c>
      <x:c r="R143" s="12" t="n">
        <x:v>3.7</x:v>
      </x:c>
      <x:c r="S143" s="12" t="n">
        <x:v>3.82</x:v>
      </x:c>
      <x:c r="T143" s="12" t="n">
        <x:v>3.97</x:v>
      </x:c>
      <x:c r="U143" s="12" t="n">
        <x:v>3.74</x:v>
      </x:c>
      <x:c r="V143" s="12" t="n">
        <x:v>4.29</x:v>
      </x:c>
      <x:c r="W143" s="12" t="n">
        <x:f>ROUND((Q143*0.24)+(R143*0.22)+(S143*0.16)+(T143*0.18)+(U143*0.10)+(V143*0.10),2)</x:f>
        <x:v>3.74</x:v>
      </x:c>
      <x:c r="X143" t="str">
        <x:f>IF(W143&gt;=3.55,"Pass","Fail")</x:f>
        <x:v>Pass</x:v>
      </x:c>
      <x:c r="Y143" t="str">
        <x:v>contact point hidden</x:v>
      </x:c>
      <x:c r="Z143" t="str">
        <x:v>Human check: Usable, but I would not show it without review. The screwdriver is recognizable, yet the exact contact point is hard to see when the hand crosses the frame. The tool silhouette is acceptable; the mechanics are the weak part. The negative constraints help, but they do not fully solve the mechanics.</x:v>
      </x:c>
      <x:c r="AA143" t="str">
        <x:v>Use a reference image for the screwdriver and specify its grip/orientation in plain language.</x:v>
      </x:c>
      <x:c r="AB143" t="str">
        <x:v>Medium</x:v>
      </x:c>
      <x:c r="AC143" t="str"/>
      <x:c r="AD143" t="str">
        <x:v>Mock rater record for experiment design; audit against real video outputs before publication.</x:v>
      </x:c>
    </x:row>
    <x:row r="144">
      <x:c r="A144" t="str">
        <x:v>S024-Pika-CON</x:v>
      </x:c>
      <x:c r="B144" t="str">
        <x:v>S024</x:v>
      </x:c>
      <x:c r="C144" t="str">
        <x:v>Electrical</x:v>
      </x:c>
      <x:c r="D144" t="str">
        <x:v>device wiring</x:v>
      </x:c>
      <x:c r="E144" t="str">
        <x:v>tightening</x:v>
      </x:c>
      <x:c r="F144" t="n">
        <x:v>4</x:v>
      </x:c>
      <x:c r="G144" t="str">
        <x:v>tighten a terminal screw while the wire loop stays under the screw head</x:v>
      </x:c>
      <x:c r="H144" t="str">
        <x:v>screwdriver</x:v>
      </x:c>
      <x:c r="I144" t="str">
        <x:v>receptacle terminal</x:v>
      </x:c>
      <x:c r="J144" t="str">
        <x:v>Pika 2.2</x:v>
      </x:c>
      <x:c r="K144" t="str">
        <x:v>Constraint-Rich Negative Prompt</x:v>
      </x:c>
      <x:c r="L144" t="str">
        <x:v>Adds concise no-floating-tools/no-extra-objects/no-morphing constraints.</x:v>
      </x:c>
      <x:c r="M144" t="str">
        <x:v>Close-up realistic instructional DIY video: tighten a terminal screw while the wire loop stays under the screw head. Show screwdriver working on receptacle terminal. Hands visible, stable camera, no text overlay, neutral shop lighting. Constraints: no floating tools, no extra tools, no morphing hands, no reversed motion, no impossible deformation, no dramatic camera spin. Keep the full action legible.</x:v>
      </x:c>
      <x:c r="N144" s="14" t="n">
        <x:v>5</x:v>
      </x:c>
      <x:c r="O144" s="14" t="n">
        <x:v>100244</x:v>
      </x:c>
      <x:c r="P144" t="str">
        <x:v>R-D</x:v>
      </x:c>
      <x:c r="Q144" s="12" t="n">
        <x:v>2.62</x:v>
      </x:c>
      <x:c r="R144" s="12" t="n">
        <x:v>3.07</x:v>
      </x:c>
      <x:c r="S144" s="12" t="n">
        <x:v>3.16</x:v>
      </x:c>
      <x:c r="T144" s="12" t="n">
        <x:v>3.17</x:v>
      </x:c>
      <x:c r="U144" s="12" t="n">
        <x:v>3.57</x:v>
      </x:c>
      <x:c r="V144" s="12" t="n">
        <x:v>3.31</x:v>
      </x:c>
      <x:c r="W144" s="12" t="n">
        <x:f>ROUND((Q144*0.24)+(R144*0.22)+(S144*0.16)+(T144*0.18)+(U144*0.10)+(V144*0.10),2)</x:f>
        <x:v>3.07</x:v>
      </x:c>
      <x:c r="X144" t="str">
        <x:f>IF(W144&gt;=3.55,"Pass","Fail")</x:f>
        <x:v>Fail</x:v>
      </x:c>
      <x:c r="Y144" t="str">
        <x:v>unsafe hand placement</x:v>
      </x:c>
      <x:c r="Z144" t="str">
        <x:v>Human check: The clip looks like generic DIY stock footage rather than this specific step. The main problem is unsafe hand placement, and the end state is not verifiable. The most important fix is to show the before-and-after state without a cut. The negative constraints help, but they do not fully solve the mechanics.</x:v>
      </x:c>
      <x:c r="AA144" t="str">
        <x:v>Specify the exact contact point and do not allow the hand to cover it.</x:v>
      </x:c>
      <x:c r="AB144" t="str">
        <x:v>High</x:v>
      </x:c>
      <x:c r="AC144" t="str"/>
      <x:c r="AD144" t="str">
        <x:v>Synthetic benchmark entry; generated clip URL should be filled after API run.</x:v>
      </x:c>
    </x:row>
    <x:row r="145">
      <x:c r="A145" t="str">
        <x:v>S024-Vidu-CON</x:v>
      </x:c>
      <x:c r="B145" t="str">
        <x:v>S024</x:v>
      </x:c>
      <x:c r="C145" t="str">
        <x:v>Electrical</x:v>
      </x:c>
      <x:c r="D145" t="str">
        <x:v>device wiring</x:v>
      </x:c>
      <x:c r="E145" t="str">
        <x:v>tightening</x:v>
      </x:c>
      <x:c r="F145" t="n">
        <x:v>4</x:v>
      </x:c>
      <x:c r="G145" t="str">
        <x:v>tighten a terminal screw while the wire loop stays under the screw head</x:v>
      </x:c>
      <x:c r="H145" t="str">
        <x:v>screwdriver</x:v>
      </x:c>
      <x:c r="I145" t="str">
        <x:v>receptacle terminal</x:v>
      </x:c>
      <x:c r="J145" t="str">
        <x:v>Vidu 2.0</x:v>
      </x:c>
      <x:c r="K145" t="str">
        <x:v>Constraint-Rich Negative Prompt</x:v>
      </x:c>
      <x:c r="L145" t="str">
        <x:v>Adds concise no-floating-tools/no-extra-objects/no-morphing constraints.</x:v>
      </x:c>
      <x:c r="M145" t="str">
        <x:v>Close-up realistic instructional DIY video: tighten a terminal screw while the wire loop stays under the screw head. Show screwdriver working on receptacle terminal. Hands visible, stable camera, no text overlay, neutral shop lighting. Constraints: no floating tools, no extra tools, no morphing hands, no reversed motion, no impossible deformation, no dramatic camera spin. Keep the full action legible.</x:v>
      </x:c>
      <x:c r="N145" s="14" t="n">
        <x:v>5</x:v>
      </x:c>
      <x:c r="O145" s="14" t="n">
        <x:v>100245</x:v>
      </x:c>
      <x:c r="P145" t="str">
        <x:v>R-C</x:v>
      </x:c>
      <x:c r="Q145" s="12" t="n">
        <x:v>2.85</x:v>
      </x:c>
      <x:c r="R145" s="12" t="n">
        <x:v>2.92</x:v>
      </x:c>
      <x:c r="S145" s="12" t="n">
        <x:v>3.24</x:v>
      </x:c>
      <x:c r="T145" s="12" t="n">
        <x:v>3.2</x:v>
      </x:c>
      <x:c r="U145" s="12" t="n">
        <x:v>3.38</x:v>
      </x:c>
      <x:c r="V145" s="12" t="n">
        <x:v>2.96</x:v>
      </x:c>
      <x:c r="W145" s="12" t="n">
        <x:f>ROUND((Q145*0.24)+(R145*0.22)+(S145*0.16)+(T145*0.18)+(U145*0.10)+(V145*0.10),2)</x:f>
        <x:v>3.05</x:v>
      </x:c>
      <x:c r="X145" t="str">
        <x:f>IF(W145&gt;=3.55,"Pass","Fail")</x:f>
        <x:v>Fail</x:v>
      </x:c>
      <x:c r="Y145" t="str">
        <x:v>extra phantom tool</x:v>
      </x:c>
      <x:c r="Z145" t="str">
        <x:v>Review note: The clip looks like generic DIY stock footage rather than this specific step. The main problem is extra phantom tool, and the end state is not verifiable. The mistake appears late, so a simple thumbnail review would probably miss it. The negative constraints help, but they do not fully solve the mechanics.</x:v>
      </x:c>
      <x:c r="AA145" t="str">
        <x:v>Use sequential context only for continuity, not for adding previous/next steps into the frame.</x:v>
      </x:c>
      <x:c r="AB145" t="str">
        <x:v>Low</x:v>
      </x:c>
      <x:c r="AC145" t="str"/>
      <x:c r="AD145" t="str">
        <x:v>Planning dataset only; scores are plausible placeholders, not vendor claims.</x:v>
      </x:c>
    </x:row>
    <x:row r="146">
      <x:c r="A146" t="str">
        <x:v>S025-Veo-DIR</x:v>
      </x:c>
      <x:c r="B146" t="str">
        <x:v>S025</x:v>
      </x:c>
      <x:c r="C146" t="str">
        <x:v>Electrical</x:v>
      </x:c>
      <x:c r="D146" t="str">
        <x:v>lighting</x:v>
      </x:c>
      <x:c r="E146" t="str">
        <x:v>twisting</x:v>
      </x:c>
      <x:c r="F146" t="n">
        <x:v>3</x:v>
      </x:c>
      <x:c r="G146" t="str">
        <x:v>twist a wire nut onto two matching white wires</x:v>
      </x:c>
      <x:c r="H146" t="str">
        <x:v>wire nut</x:v>
      </x:c>
      <x:c r="I146" t="str">
        <x:v>two white wires</x:v>
      </x:c>
      <x:c r="J146" t="str">
        <x:v>Veo 3.1</x:v>
      </x:c>
      <x:c r="K146" t="str">
        <x:v>Direct Natural Language</x:v>
      </x:c>
      <x:c r="L146" t="str">
        <x:v>Baseline wording only; no explicit decomposition.</x:v>
      </x:c>
      <x:c r="M146" t="str">
        <x:v>Close-up realistic instructional DIY video: twist a wire nut onto two matching white wires. Show wire nut working on two white wires. Hands visible, stable camera, no text overlay, neutral shop lighting.</x:v>
      </x:c>
      <x:c r="N146" s="14" t="n">
        <x:v>8</x:v>
      </x:c>
      <x:c r="O146" s="14" t="n">
        <x:v>100250</x:v>
      </x:c>
      <x:c r="P146" t="str">
        <x:v>R-E</x:v>
      </x:c>
      <x:c r="Q146" s="12" t="n">
        <x:v>4.85</x:v>
      </x:c>
      <x:c r="R146" s="12" t="n">
        <x:v>3.73</x:v>
      </x:c>
      <x:c r="S146" s="12" t="n">
        <x:v>3.63</x:v>
      </x:c>
      <x:c r="T146" s="12" t="n">
        <x:v>4.22</x:v>
      </x:c>
      <x:c r="U146" s="12" t="n">
        <x:v>3.86</x:v>
      </x:c>
      <x:c r="V146" s="12" t="n">
        <x:v>4</x:v>
      </x:c>
      <x:c r="W146" s="12" t="n">
        <x:f>ROUND((Q146*0.24)+(R146*0.22)+(S146*0.16)+(T146*0.18)+(U146*0.10)+(V146*0.10),2)</x:f>
        <x:v>4.11</x:v>
      </x:c>
      <x:c r="X146" t="str">
        <x:f>IF(W146&gt;=3.55,"Pass","Fail")</x:f>
        <x:v>Pass</x:v>
      </x:c>
      <x:c r="Y146" t="str">
        <x:v>tool pose a little soft</x:v>
      </x:c>
      <x:c r="Z146" t="str">
        <x:v>Rater note: The clip has the right ingredients but not quite the right mechanics. It needs a tighter prompt about grip, contact, and the end position. This would be safer as a reference-aided run than a text-only run. For this electrical example, the main judgment is still whether the viewer can copy the motion.</x:v>
      </x:c>
      <x:c r="AA146" t="str">
        <x:v>Ask for a static close-up and require the wire nut to touch the two white wires before any motion starts.</x:v>
      </x:c>
      <x:c r="AB146" t="str">
        <x:v>Medium-High</x:v>
      </x:c>
      <x:c r="AC146" t="str"/>
      <x:c r="AD146" t="str">
        <x:v>Simulated pilot row for planning; replace with blinded ratings after generating actual clips.</x:v>
      </x:c>
    </x:row>
    <x:row r="147">
      <x:c r="A147" t="str">
        <x:v>S025-Sora-DIR</x:v>
      </x:c>
      <x:c r="B147" t="str">
        <x:v>S025</x:v>
      </x:c>
      <x:c r="C147" t="str">
        <x:v>Electrical</x:v>
      </x:c>
      <x:c r="D147" t="str">
        <x:v>lighting</x:v>
      </x:c>
      <x:c r="E147" t="str">
        <x:v>twisting</x:v>
      </x:c>
      <x:c r="F147" t="n">
        <x:v>3</x:v>
      </x:c>
      <x:c r="G147" t="str">
        <x:v>twist a wire nut onto two matching white wires</x:v>
      </x:c>
      <x:c r="H147" t="str">
        <x:v>wire nut</x:v>
      </x:c>
      <x:c r="I147" t="str">
        <x:v>two white wires</x:v>
      </x:c>
      <x:c r="J147" t="str">
        <x:v>Sora 2 Pro</x:v>
      </x:c>
      <x:c r="K147" t="str">
        <x:v>Direct Natural Language</x:v>
      </x:c>
      <x:c r="L147" t="str">
        <x:v>Baseline wording only; no explicit decomposition.</x:v>
      </x:c>
      <x:c r="M147" t="str">
        <x:v>Close-up realistic instructional DIY video: twist a wire nut onto two matching white wires. Show wire nut working on two white wires. Hands visible, stable camera, no text overlay, neutral shop lighting.</x:v>
      </x:c>
      <x:c r="N147" s="14" t="n">
        <x:v>8</x:v>
      </x:c>
      <x:c r="O147" s="14" t="n">
        <x:v>100251</x:v>
      </x:c>
      <x:c r="P147" t="str">
        <x:v>R-E</x:v>
      </x:c>
      <x:c r="Q147" s="12" t="n">
        <x:v>3.94</x:v>
      </x:c>
      <x:c r="R147" s="12" t="n">
        <x:v>3.76</x:v>
      </x:c>
      <x:c r="S147" s="12" t="n">
        <x:v>4.25</x:v>
      </x:c>
      <x:c r="T147" s="12" t="n">
        <x:v>3.71</x:v>
      </x:c>
      <x:c r="U147" s="12" t="n">
        <x:v>3.49</x:v>
      </x:c>
      <x:c r="V147" s="12" t="n">
        <x:v>4.01</x:v>
      </x:c>
      <x:c r="W147" s="12" t="n">
        <x:f>ROUND((Q147*0.24)+(R147*0.22)+(S147*0.16)+(T147*0.18)+(U147*0.10)+(V147*0.10),2)</x:f>
        <x:v>3.87</x:v>
      </x:c>
      <x:c r="X147" t="str">
        <x:f>IF(W147&gt;=3.55,"Pass","Fail")</x:f>
        <x:v>Pass</x:v>
      </x:c>
      <x:c r="Y147" t="str">
        <x:v>minor continuity jump</x:v>
      </x:c>
      <x:c r="Z147" t="str">
        <x:v>Rater note: The intention is clear, especially if you already know the step. A novice might miss the key detail because this issue appears right where the action should be most explicit: minor continuity jump. The prompt should prioritize hand path over cinematic lighting. For this electrical example, the main judgment is still whether the viewer can copy the motion.</x:v>
      </x:c>
      <x:c r="AA147" t="str">
        <x:v>Ask for a static close-up and require the wire nut to touch the two white wires before any motion starts.</x:v>
      </x:c>
      <x:c r="AB147" t="str">
        <x:v>Medium-High</x:v>
      </x:c>
      <x:c r="AC147" t="str"/>
      <x:c r="AD147" t="str">
        <x:v>Planning dataset only; scores are plausible placeholders, not vendor claims.</x:v>
      </x:c>
    </x:row>
    <x:row r="148">
      <x:c r="A148" t="str">
        <x:v>S025-Runway-DIR</x:v>
      </x:c>
      <x:c r="B148" t="str">
        <x:v>S025</x:v>
      </x:c>
      <x:c r="C148" t="str">
        <x:v>Electrical</x:v>
      </x:c>
      <x:c r="D148" t="str">
        <x:v>lighting</x:v>
      </x:c>
      <x:c r="E148" t="str">
        <x:v>twisting</x:v>
      </x:c>
      <x:c r="F148" t="n">
        <x:v>3</x:v>
      </x:c>
      <x:c r="G148" t="str">
        <x:v>twist a wire nut onto two matching white wires</x:v>
      </x:c>
      <x:c r="H148" t="str">
        <x:v>wire nut</x:v>
      </x:c>
      <x:c r="I148" t="str">
        <x:v>two white wires</x:v>
      </x:c>
      <x:c r="J148" t="str">
        <x:v>Runway Gen-4.5</x:v>
      </x:c>
      <x:c r="K148" t="str">
        <x:v>Direct Natural Language</x:v>
      </x:c>
      <x:c r="L148" t="str">
        <x:v>Baseline wording only; no explicit decomposition.</x:v>
      </x:c>
      <x:c r="M148" t="str">
        <x:v>Close-up realistic instructional DIY video: twist a wire nut onto two matching white wires. Show wire nut working on two white wires. Hands visible, stable camera, no text overlay, neutral shop lighting.</x:v>
      </x:c>
      <x:c r="N148" s="14" t="n">
        <x:v>5</x:v>
      </x:c>
      <x:c r="O148" s="14" t="n">
        <x:v>100252</x:v>
      </x:c>
      <x:c r="P148" t="str">
        <x:v>R-A</x:v>
      </x:c>
      <x:c r="Q148" s="12" t="n">
        <x:v>3.32</x:v>
      </x:c>
      <x:c r="R148" s="12" t="n">
        <x:v>3.81</x:v>
      </x:c>
      <x:c r="S148" s="12" t="n">
        <x:v>3.66</x:v>
      </x:c>
      <x:c r="T148" s="12" t="n">
        <x:v>4.13</x:v>
      </x:c>
      <x:c r="U148" s="12" t="n">
        <x:v>3.93</x:v>
      </x:c>
      <x:c r="V148" s="12" t="n">
        <x:v>3.43</x:v>
      </x:c>
      <x:c r="W148" s="12" t="n">
        <x:f>ROUND((Q148*0.24)+(R148*0.22)+(S148*0.16)+(T148*0.18)+(U148*0.10)+(V148*0.10),2)</x:f>
        <x:v>3.7</x:v>
      </x:c>
      <x:c r="X148" t="str">
        <x:f>IF(W148&gt;=3.55,"Pass","Fail")</x:f>
        <x:v>Pass</x:v>
      </x:c>
      <x:c r="Y148" t="str">
        <x:v>material looks wrong</x:v>
      </x:c>
      <x:c r="Z148" t="str">
        <x:v>QA note: I would keep this as a rough candidate. It communicates the step, although the failure mode makes it weaker than a real sourced clip: material looks wrong. The next prompt should slow the final second instead of adding more scene detail. The baseline prompt is likely under-specifying the tool path.</x:v>
      </x:c>
      <x:c r="AA148" t="str">
        <x:v>Specify the exact contact point and do not allow the hand to cover it.</x:v>
      </x:c>
      <x:c r="AB148" t="str">
        <x:v>High</x:v>
      </x:c>
      <x:c r="AC148" t="str"/>
      <x:c r="AD148" t="str">
        <x:v>Simulated pilot row for planning; replace with blinded ratings after generating actual clips.</x:v>
      </x:c>
    </x:row>
    <x:row r="149">
      <x:c r="A149" t="str">
        <x:v>S025-Kling-DIR</x:v>
      </x:c>
      <x:c r="B149" t="str">
        <x:v>S025</x:v>
      </x:c>
      <x:c r="C149" t="str">
        <x:v>Electrical</x:v>
      </x:c>
      <x:c r="D149" t="str">
        <x:v>lighting</x:v>
      </x:c>
      <x:c r="E149" t="str">
        <x:v>twisting</x:v>
      </x:c>
      <x:c r="F149" t="n">
        <x:v>3</x:v>
      </x:c>
      <x:c r="G149" t="str">
        <x:v>twist a wire nut onto two matching white wires</x:v>
      </x:c>
      <x:c r="H149" t="str">
        <x:v>wire nut</x:v>
      </x:c>
      <x:c r="I149" t="str">
        <x:v>two white wires</x:v>
      </x:c>
      <x:c r="J149" t="str">
        <x:v>Kling v3.0 (Replicate)</x:v>
      </x:c>
      <x:c r="K149" t="str">
        <x:v>Direct Natural Language</x:v>
      </x:c>
      <x:c r="L149" t="str">
        <x:v>Baseline wording only; no explicit decomposition.</x:v>
      </x:c>
      <x:c r="M149" t="str">
        <x:v>Close-up realistic instructional DIY video: twist a wire nut onto two matching white wires. Show wire nut working on two white wires. Hands visible, stable camera, no text overlay, neutral shop lighting.</x:v>
      </x:c>
      <x:c r="N149" s="14" t="n">
        <x:v>10</x:v>
      </x:c>
      <x:c r="O149" s="14" t="n">
        <x:v>100253</x:v>
      </x:c>
      <x:c r="P149" t="str">
        <x:v>R-C</x:v>
      </x:c>
      <x:c r="Q149" s="12" t="n">
        <x:v>3.08</x:v>
      </x:c>
      <x:c r="R149" s="12" t="n">
        <x:v>4.12</x:v>
      </x:c>
      <x:c r="S149" s="12" t="n">
        <x:v>3.58</x:v>
      </x:c>
      <x:c r="T149" s="12" t="n">
        <x:v>3.82</x:v>
      </x:c>
      <x:c r="U149" s="12" t="n">
        <x:v>3.36</x:v>
      </x:c>
      <x:c r="V149" s="12" t="n">
        <x:v>4</x:v>
      </x:c>
      <x:c r="W149" s="12" t="n">
        <x:f>ROUND((Q149*0.24)+(R149*0.22)+(S149*0.16)+(T149*0.18)+(U149*0.10)+(V149*0.10),2)</x:f>
        <x:v>3.64</x:v>
      </x:c>
      <x:c r="X149" t="str">
        <x:f>IF(W149&gt;=3.55,"Pass","Fail")</x:f>
        <x:v>Pass</x:v>
      </x:c>
      <x:c r="Y149" t="str">
        <x:v>wrong grip on tool</x:v>
      </x:c>
      <x:c r="Z149" t="str">
        <x:v>Clip review: The clip has the right ingredients but not quite the right mechanics. It needs a tighter prompt about grip, contact, and the end position. The next prompt should slow the final second instead of adding more scene detail. The baseline prompt is likely under-specifying the tool path.</x:v>
      </x:c>
      <x:c r="AA149" t="str">
        <x:v>Use a reference image for the wire nut and specify its grip/orientation in plain language.</x:v>
      </x:c>
      <x:c r="AB149" t="str">
        <x:v>High</x:v>
      </x:c>
      <x:c r="AC149" t="str"/>
      <x:c r="AD149" t="str">
        <x:v>Simulated pilot row for planning; replace with blinded ratings after generating actual clips.</x:v>
      </x:c>
    </x:row>
    <x:row r="150">
      <x:c r="A150" t="str">
        <x:v>S025-Pika-DIR</x:v>
      </x:c>
      <x:c r="B150" t="str">
        <x:v>S025</x:v>
      </x:c>
      <x:c r="C150" t="str">
        <x:v>Electrical</x:v>
      </x:c>
      <x:c r="D150" t="str">
        <x:v>lighting</x:v>
      </x:c>
      <x:c r="E150" t="str">
        <x:v>twisting</x:v>
      </x:c>
      <x:c r="F150" t="n">
        <x:v>3</x:v>
      </x:c>
      <x:c r="G150" t="str">
        <x:v>twist a wire nut onto two matching white wires</x:v>
      </x:c>
      <x:c r="H150" t="str">
        <x:v>wire nut</x:v>
      </x:c>
      <x:c r="I150" t="str">
        <x:v>two white wires</x:v>
      </x:c>
      <x:c r="J150" t="str">
        <x:v>Pika 2.2</x:v>
      </x:c>
      <x:c r="K150" t="str">
        <x:v>Direct Natural Language</x:v>
      </x:c>
      <x:c r="L150" t="str">
        <x:v>Baseline wording only; no explicit decomposition.</x:v>
      </x:c>
      <x:c r="M150" t="str">
        <x:v>Close-up realistic instructional DIY video: twist a wire nut onto two matching white wires. Show wire nut working on two white wires. Hands visible, stable camera, no text overlay, neutral shop lighting.</x:v>
      </x:c>
      <x:c r="N150" s="14" t="n">
        <x:v>5</x:v>
      </x:c>
      <x:c r="O150" s="14" t="n">
        <x:v>100254</x:v>
      </x:c>
      <x:c r="P150" t="str">
        <x:v>R-C</x:v>
      </x:c>
      <x:c r="Q150" s="12" t="n">
        <x:v>2.99</x:v>
      </x:c>
      <x:c r="R150" s="12" t="n">
        <x:v>3.16</x:v>
      </x:c>
      <x:c r="S150" s="12" t="n">
        <x:v>3.25</x:v>
      </x:c>
      <x:c r="T150" s="12" t="n">
        <x:v>3.23</x:v>
      </x:c>
      <x:c r="U150" s="12" t="n">
        <x:v>3</x:v>
      </x:c>
      <x:c r="V150" s="12" t="n">
        <x:v>3.09</x:v>
      </x:c>
      <x:c r="W150" s="12" t="n">
        <x:f>ROUND((Q150*0.24)+(R150*0.22)+(S150*0.16)+(T150*0.18)+(U150*0.10)+(V150*0.10),2)</x:f>
        <x:v>3.12</x:v>
      </x:c>
      <x:c r="X150" t="str">
        <x:f>IF(W150&gt;=3.55,"Pass","Fail")</x:f>
        <x:v>Fail</x:v>
      </x:c>
      <x:c r="Y150" t="str">
        <x:v>object morphs</x:v>
      </x:c>
      <x:c r="Z150" t="str">
        <x:v>QA note: A reviewer would likely reject this. It may be visually attractive, but the tool/object relationship breaks during the important moment. The next prompt should slow the final second instead of adding more scene detail. The baseline prompt is likely under-specifying the tool path.</x:v>
      </x:c>
      <x:c r="AA150" t="str">
        <x:v>Add a one-sentence end-state requirement: viewer must see the completed twisting result for one full second.</x:v>
      </x:c>
      <x:c r="AB150" t="str">
        <x:v>Low</x:v>
      </x:c>
      <x:c r="AC150" t="str"/>
      <x:c r="AD150" t="str">
        <x:v>Synthetic benchmark entry; generated clip URL should be filled after API run.</x:v>
      </x:c>
    </x:row>
    <x:row r="151">
      <x:c r="A151" t="str">
        <x:v>S025-Vidu-DIR</x:v>
      </x:c>
      <x:c r="B151" t="str">
        <x:v>S025</x:v>
      </x:c>
      <x:c r="C151" t="str">
        <x:v>Electrical</x:v>
      </x:c>
      <x:c r="D151" t="str">
        <x:v>lighting</x:v>
      </x:c>
      <x:c r="E151" t="str">
        <x:v>twisting</x:v>
      </x:c>
      <x:c r="F151" t="n">
        <x:v>3</x:v>
      </x:c>
      <x:c r="G151" t="str">
        <x:v>twist a wire nut onto two matching white wires</x:v>
      </x:c>
      <x:c r="H151" t="str">
        <x:v>wire nut</x:v>
      </x:c>
      <x:c r="I151" t="str">
        <x:v>two white wires</x:v>
      </x:c>
      <x:c r="J151" t="str">
        <x:v>Vidu 2.0</x:v>
      </x:c>
      <x:c r="K151" t="str">
        <x:v>Direct Natural Language</x:v>
      </x:c>
      <x:c r="L151" t="str">
        <x:v>Baseline wording only; no explicit decomposition.</x:v>
      </x:c>
      <x:c r="M151" t="str">
        <x:v>Close-up realistic instructional DIY video: twist a wire nut onto two matching white wires. Show wire nut working on two white wires. Hands visible, stable camera, no text overlay, neutral shop lighting.</x:v>
      </x:c>
      <x:c r="N151" s="14" t="n">
        <x:v>5</x:v>
      </x:c>
      <x:c r="O151" s="14" t="n">
        <x:v>100255</x:v>
      </x:c>
      <x:c r="P151" t="str">
        <x:v>R-B</x:v>
      </x:c>
      <x:c r="Q151" s="12" t="n">
        <x:v>3</x:v>
      </x:c>
      <x:c r="R151" s="12" t="n">
        <x:v>3.25</x:v>
      </x:c>
      <x:c r="S151" s="12" t="n">
        <x:v>3.35</x:v>
      </x:c>
      <x:c r="T151" s="12" t="n">
        <x:v>3.16</x:v>
      </x:c>
      <x:c r="U151" s="12" t="n">
        <x:v>3.28</x:v>
      </x:c>
      <x:c r="V151" s="12" t="n">
        <x:v>3.12</x:v>
      </x:c>
      <x:c r="W151" s="12" t="n">
        <x:f>ROUND((Q151*0.24)+(R151*0.22)+(S151*0.16)+(T151*0.18)+(U151*0.10)+(V151*0.10),2)</x:f>
        <x:v>3.18</x:v>
      </x:c>
      <x:c r="X151" t="str">
        <x:f>IF(W151&gt;=3.55,"Pass","Fail")</x:f>
        <x:v>Fail</x:v>
      </x:c>
      <x:c r="Y151" t="str">
        <x:v>object morphs</x:v>
      </x:c>
      <x:c r="Z151" t="str">
        <x:v>Review note: The generated clip loses the procedure. I would re-run with a reference frame and a stricter Action-Object-Tool prompt. The prompt should prioritize hand path over cinematic lighting. The baseline prompt is likely under-specifying the tool path.</x:v>
      </x:c>
      <x:c r="AA151" t="str">
        <x:v>Move safety language earlier in the prompt and remove cinematic camera instructions.</x:v>
      </x:c>
      <x:c r="AB151" t="str">
        <x:v>Medium</x:v>
      </x:c>
      <x:c r="AC151" t="str"/>
      <x:c r="AD151" t="str">
        <x:v>Synthetic benchmark entry; generated clip URL should be filled after API run.</x:v>
      </x:c>
    </x:row>
    <x:row r="152">
      <x:c r="A152" t="str">
        <x:v>S026-Veo-STR</x:v>
      </x:c>
      <x:c r="B152" t="str">
        <x:v>S026</x:v>
      </x:c>
      <x:c r="C152" t="str">
        <x:v>Electrical</x:v>
      </x:c>
      <x:c r="D152" t="str">
        <x:v>lighting</x:v>
      </x:c>
      <x:c r="E152" t="str">
        <x:v>tucking</x:v>
      </x:c>
      <x:c r="F152" t="n">
        <x:v>3</x:v>
      </x:c>
      <x:c r="G152" t="str">
        <x:v>fold wires back into a ceiling box without pinching them</x:v>
      </x:c>
      <x:c r="H152" t="str">
        <x:v>hand only</x:v>
      </x:c>
      <x:c r="I152" t="str">
        <x:v>ceiling electrical box, wires</x:v>
      </x:c>
      <x:c r="J152" t="str">
        <x:v>Veo 3.1</x:v>
      </x:c>
      <x:c r="K152" t="str">
        <x:v>Structured Action-Object-Tool</x:v>
      </x:c>
      <x:c r="L152" t="str">
        <x:v>Action, tool, object, grip, contact point, start/end states.</x:v>
      </x:c>
      <x:c r="M152" t="str">
        <x:v>Close-up realistic instructional DIY video: fold wires back into a ceiling box without pinching them. Show hand only working on ceiling electrical box, wires. Hands visible, stable camera, no text overlay, neutral shop lighting. Action=tucking; tool=hand only; object/material=ceiling electrical box, wires; show tool-to-object contact; start state, motion, and finished state all visible.</x:v>
      </x:c>
      <x:c r="N152" s="14" t="n">
        <x:v>8</x:v>
      </x:c>
      <x:c r="O152" s="14" t="n">
        <x:v>100260</x:v>
      </x:c>
      <x:c r="P152" t="str">
        <x:v>R-B</x:v>
      </x:c>
      <x:c r="Q152" s="12" t="n">
        <x:v>4.07</x:v>
      </x:c>
      <x:c r="R152" s="12" t="n">
        <x:v>4.79</x:v>
      </x:c>
      <x:c r="S152" s="12" t="n">
        <x:v>4.27</x:v>
      </x:c>
      <x:c r="T152" s="12" t="n">
        <x:v>4.25</x:v>
      </x:c>
      <x:c r="U152" s="12" t="n">
        <x:v>4.16</x:v>
      </x:c>
      <x:c r="V152" s="12" t="n">
        <x:v>4.1</x:v>
      </x:c>
      <x:c r="W152" s="12" t="n">
        <x:f>ROUND((Q152*0.24)+(R152*0.22)+(S152*0.16)+(T152*0.18)+(U152*0.10)+(V152*0.10),2)</x:f>
        <x:v>4.3</x:v>
      </x:c>
      <x:c r="X152" t="str">
        <x:f>IF(W152&gt;=3.55,"Pass","Fail")</x:f>
        <x:v>Pass</x:v>
      </x:c>
      <x:c r="Y152" t="str">
        <x:v>none</x:v>
      </x:c>
      <x:c r="Z152" t="str">
        <x:v>Clip review: This one would probably pass a quick review. The hand only stays believable, the start and end states are easy to read, and the only nit is that occasional extra hand. The issue is subtle visually, but it matters because the clip is supposed to teach the technique. For this electrical example, the main judgment is still whether the viewer can copy the motion.</x:v>
      </x:c>
      <x:c r="AA152" t="str">
        <x:v>No immediate re-run; keep as candidate and verify with a second rater.</x:v>
      </x:c>
      <x:c r="AB152" t="str">
        <x:v>Medium-High</x:v>
      </x:c>
      <x:c r="AC152" t="str"/>
      <x:c r="AD152" t="str">
        <x:v>Mock rater record for experiment design; audit against real video outputs before publication.</x:v>
      </x:c>
    </x:row>
    <x:row r="153">
      <x:c r="A153" t="str">
        <x:v>S026-Sora-STR</x:v>
      </x:c>
      <x:c r="B153" t="str">
        <x:v>S026</x:v>
      </x:c>
      <x:c r="C153" t="str">
        <x:v>Electrical</x:v>
      </x:c>
      <x:c r="D153" t="str">
        <x:v>lighting</x:v>
      </x:c>
      <x:c r="E153" t="str">
        <x:v>tucking</x:v>
      </x:c>
      <x:c r="F153" t="n">
        <x:v>3</x:v>
      </x:c>
      <x:c r="G153" t="str">
        <x:v>fold wires back into a ceiling box without pinching them</x:v>
      </x:c>
      <x:c r="H153" t="str">
        <x:v>hand only</x:v>
      </x:c>
      <x:c r="I153" t="str">
        <x:v>ceiling electrical box, wires</x:v>
      </x:c>
      <x:c r="J153" t="str">
        <x:v>Sora 2 Pro</x:v>
      </x:c>
      <x:c r="K153" t="str">
        <x:v>Structured Action-Object-Tool</x:v>
      </x:c>
      <x:c r="L153" t="str">
        <x:v>Action, tool, object, grip, contact point, start/end states.</x:v>
      </x:c>
      <x:c r="M153" t="str">
        <x:v>Close-up realistic instructional DIY video: fold wires back into a ceiling box without pinching them. Show hand only working on ceiling electrical box, wires. Hands visible, stable camera, no text overlay, neutral shop lighting. Action=tucking; tool=hand only; object/material=ceiling electrical box, wires; show tool-to-object contact; start state, motion, and finished state all visible.</x:v>
      </x:c>
      <x:c r="N153" s="14" t="n">
        <x:v>8</x:v>
      </x:c>
      <x:c r="O153" s="14" t="n">
        <x:v>100261</x:v>
      </x:c>
      <x:c r="P153" t="str">
        <x:v>R-C</x:v>
      </x:c>
      <x:c r="Q153" s="12" t="n">
        <x:v>4.34</x:v>
      </x:c>
      <x:c r="R153" s="12" t="n">
        <x:v>3.98</x:v>
      </x:c>
      <x:c r="S153" s="12" t="n">
        <x:v>4.34</x:v>
      </x:c>
      <x:c r="T153" s="12" t="n">
        <x:v>3.77</x:v>
      </x:c>
      <x:c r="U153" s="12" t="n">
        <x:v>3.49</x:v>
      </x:c>
      <x:c r="V153" s="12" t="n">
        <x:v>4.51</x:v>
      </x:c>
      <x:c r="W153" s="12" t="n">
        <x:f>ROUND((Q153*0.24)+(R153*0.22)+(S153*0.16)+(T153*0.18)+(U153*0.10)+(V153*0.10),2)</x:f>
        <x:v>4.09</x:v>
      </x:c>
      <x:c r="X153" t="str">
        <x:f>IF(W153&gt;=3.55,"Pass","Fail")</x:f>
        <x:v>Pass</x:v>
      </x:c>
      <x:c r="Y153" t="str">
        <x:v>minor continuity jump</x:v>
      </x:c>
      <x:c r="Z153" t="str">
        <x:v>Clip review: Usable, but I would not show it without review. The hand only is recognizable, yet the exact contact point is hard to see when the hand crosses the frame. The issue is subtle visually, but it matters because the clip is supposed to teach the technique. For this electrical example, the main judgment is still whether the viewer can copy the motion.</x:v>
      </x:c>
      <x:c r="AA153" t="str">
        <x:v>Move safety language earlier in the prompt and remove cinematic camera instructions.</x:v>
      </x:c>
      <x:c r="AB153" t="str">
        <x:v>High</x:v>
      </x:c>
      <x:c r="AC153" t="str"/>
      <x:c r="AD153" t="str">
        <x:v>Simulated pilot row for planning; replace with blinded ratings after generating actual clips.</x:v>
      </x:c>
    </x:row>
    <x:row r="154">
      <x:c r="A154" t="str">
        <x:v>S026-Runway-STR</x:v>
      </x:c>
      <x:c r="B154" t="str">
        <x:v>S026</x:v>
      </x:c>
      <x:c r="C154" t="str">
        <x:v>Electrical</x:v>
      </x:c>
      <x:c r="D154" t="str">
        <x:v>lighting</x:v>
      </x:c>
      <x:c r="E154" t="str">
        <x:v>tucking</x:v>
      </x:c>
      <x:c r="F154" t="n">
        <x:v>3</x:v>
      </x:c>
      <x:c r="G154" t="str">
        <x:v>fold wires back into a ceiling box without pinching them</x:v>
      </x:c>
      <x:c r="H154" t="str">
        <x:v>hand only</x:v>
      </x:c>
      <x:c r="I154" t="str">
        <x:v>ceiling electrical box, wires</x:v>
      </x:c>
      <x:c r="J154" t="str">
        <x:v>Runway Gen-4.5</x:v>
      </x:c>
      <x:c r="K154" t="str">
        <x:v>Structured Action-Object-Tool</x:v>
      </x:c>
      <x:c r="L154" t="str">
        <x:v>Action, tool, object, grip, contact point, start/end states.</x:v>
      </x:c>
      <x:c r="M154" t="str">
        <x:v>Close-up realistic instructional DIY video: fold wires back into a ceiling box without pinching them. Show hand only working on ceiling electrical box, wires. Hands visible, stable camera, no text overlay, neutral shop lighting. Action=tucking; tool=hand only; object/material=ceiling electrical box, wires; show tool-to-object contact; start state, motion, and finished state all visible.</x:v>
      </x:c>
      <x:c r="N154" s="14" t="n">
        <x:v>5</x:v>
      </x:c>
      <x:c r="O154" s="14" t="n">
        <x:v>100262</x:v>
      </x:c>
      <x:c r="P154" t="str">
        <x:v>R-B</x:v>
      </x:c>
      <x:c r="Q154" s="12" t="n">
        <x:v>3.51</x:v>
      </x:c>
      <x:c r="R154" s="12" t="n">
        <x:v>3.94</x:v>
      </x:c>
      <x:c r="S154" s="12" t="n">
        <x:v>3.79</x:v>
      </x:c>
      <x:c r="T154" s="12" t="n">
        <x:v>4.21</x:v>
      </x:c>
      <x:c r="U154" s="12" t="n">
        <x:v>4.03</x:v>
      </x:c>
      <x:c r="V154" s="12" t="n">
        <x:v>4.41</x:v>
      </x:c>
      <x:c r="W154" s="12" t="n">
        <x:f>ROUND((Q154*0.24)+(R154*0.22)+(S154*0.16)+(T154*0.18)+(U154*0.10)+(V154*0.10),2)</x:f>
        <x:v>3.92</x:v>
      </x:c>
      <x:c r="X154" t="str">
        <x:f>IF(W154&gt;=3.55,"Pass","Fail")</x:f>
        <x:v>Pass</x:v>
      </x:c>
      <x:c r="Y154" t="str">
        <x:v>motion slightly compressed</x:v>
      </x:c>
      <x:c r="Z154" t="str">
        <x:v>QA note: I would keep this as a rough candidate. It communicates the step, although the failure mode makes it weaker than a real sourced clip: motion slightly compressed. The tool silhouette is acceptable; the mechanics are the weak part. For this electrical example, the main judgment is still whether the viewer can copy the motion.</x:v>
      </x:c>
      <x:c r="AA154" t="str">
        <x:v>Use sequential context only for continuity, not for adding previous/next steps into the frame.</x:v>
      </x:c>
      <x:c r="AB154" t="str">
        <x:v>High</x:v>
      </x:c>
      <x:c r="AC154" t="str"/>
      <x:c r="AD154" t="str">
        <x:v>Mock rater record for experiment design; audit against real video outputs before publication.</x:v>
      </x:c>
    </x:row>
    <x:row r="155">
      <x:c r="A155" t="str">
        <x:v>S026-Kling-STR</x:v>
      </x:c>
      <x:c r="B155" t="str">
        <x:v>S026</x:v>
      </x:c>
      <x:c r="C155" t="str">
        <x:v>Electrical</x:v>
      </x:c>
      <x:c r="D155" t="str">
        <x:v>lighting</x:v>
      </x:c>
      <x:c r="E155" t="str">
        <x:v>tucking</x:v>
      </x:c>
      <x:c r="F155" t="n">
        <x:v>3</x:v>
      </x:c>
      <x:c r="G155" t="str">
        <x:v>fold wires back into a ceiling box without pinching them</x:v>
      </x:c>
      <x:c r="H155" t="str">
        <x:v>hand only</x:v>
      </x:c>
      <x:c r="I155" t="str">
        <x:v>ceiling electrical box, wires</x:v>
      </x:c>
      <x:c r="J155" t="str">
        <x:v>Kling v3.0 (Replicate)</x:v>
      </x:c>
      <x:c r="K155" t="str">
        <x:v>Structured Action-Object-Tool</x:v>
      </x:c>
      <x:c r="L155" t="str">
        <x:v>Action, tool, object, grip, contact point, start/end states.</x:v>
      </x:c>
      <x:c r="M155" t="str">
        <x:v>Close-up realistic instructional DIY video: fold wires back into a ceiling box without pinching them. Show hand only working on ceiling electrical box, wires. Hands visible, stable camera, no text overlay, neutral shop lighting. Action=tucking; tool=hand only; object/material=ceiling electrical box, wires; show tool-to-object contact; start state, motion, and finished state all visible.</x:v>
      </x:c>
      <x:c r="N155" s="14" t="n">
        <x:v>10</x:v>
      </x:c>
      <x:c r="O155" s="14" t="n">
        <x:v>100263</x:v>
      </x:c>
      <x:c r="P155" t="str">
        <x:v>R-C</x:v>
      </x:c>
      <x:c r="Q155" s="12" t="n">
        <x:v>3.34</x:v>
      </x:c>
      <x:c r="R155" s="12" t="n">
        <x:v>4.42</x:v>
      </x:c>
      <x:c r="S155" s="12" t="n">
        <x:v>3.68</x:v>
      </x:c>
      <x:c r="T155" s="12" t="n">
        <x:v>3.87</x:v>
      </x:c>
      <x:c r="U155" s="12" t="n">
        <x:v>3.48</x:v>
      </x:c>
      <x:c r="V155" s="12" t="n">
        <x:v>3.62</x:v>
      </x:c>
      <x:c r="W155" s="12" t="n">
        <x:f>ROUND((Q155*0.24)+(R155*0.22)+(S155*0.16)+(T155*0.18)+(U155*0.10)+(V155*0.10),2)</x:f>
        <x:v>3.77</x:v>
      </x:c>
      <x:c r="X155" t="str">
        <x:f>IF(W155&gt;=3.55,"Pass","Fail")</x:f>
        <x:v>Pass</x:v>
      </x:c>
      <x:c r="Y155" t="str">
        <x:v>material looks wrong</x:v>
      </x:c>
      <x:c r="Z155" t="str">
        <x:v>Human check: I would keep this as a rough candidate. It communicates the step, although the failure mode makes it weaker than a real sourced clip: material looks wrong. The mistake appears late, so a simple thumbnail review would probably miss it. For this electrical example, the main judgment is still whether the viewer can copy the motion.</x:v>
      </x:c>
      <x:c r="AA155" t="str">
        <x:v>Use sequential context only for continuity, not for adding previous/next steps into the frame.</x:v>
      </x:c>
      <x:c r="AB155" t="str">
        <x:v>Medium</x:v>
      </x:c>
      <x:c r="AC155" t="str"/>
      <x:c r="AD155" t="str">
        <x:v>Planning dataset only; scores are plausible placeholders, not vendor claims.</x:v>
      </x:c>
    </x:row>
    <x:row r="156">
      <x:c r="A156" t="str">
        <x:v>S026-Pika-STR</x:v>
      </x:c>
      <x:c r="B156" t="str">
        <x:v>S026</x:v>
      </x:c>
      <x:c r="C156" t="str">
        <x:v>Electrical</x:v>
      </x:c>
      <x:c r="D156" t="str">
        <x:v>lighting</x:v>
      </x:c>
      <x:c r="E156" t="str">
        <x:v>tucking</x:v>
      </x:c>
      <x:c r="F156" t="n">
        <x:v>3</x:v>
      </x:c>
      <x:c r="G156" t="str">
        <x:v>fold wires back into a ceiling box without pinching them</x:v>
      </x:c>
      <x:c r="H156" t="str">
        <x:v>hand only</x:v>
      </x:c>
      <x:c r="I156" t="str">
        <x:v>ceiling electrical box, wires</x:v>
      </x:c>
      <x:c r="J156" t="str">
        <x:v>Pika 2.2</x:v>
      </x:c>
      <x:c r="K156" t="str">
        <x:v>Structured Action-Object-Tool</x:v>
      </x:c>
      <x:c r="L156" t="str">
        <x:v>Action, tool, object, grip, contact point, start/end states.</x:v>
      </x:c>
      <x:c r="M156" t="str">
        <x:v>Close-up realistic instructional DIY video: fold wires back into a ceiling box without pinching them. Show hand only working on ceiling electrical box, wires. Hands visible, stable camera, no text overlay, neutral shop lighting. Action=tucking; tool=hand only; object/material=ceiling electrical box, wires; show tool-to-object contact; start state, motion, and finished state all visible.</x:v>
      </x:c>
      <x:c r="N156" s="14" t="n">
        <x:v>5</x:v>
      </x:c>
      <x:c r="O156" s="14" t="n">
        <x:v>100264</x:v>
      </x:c>
      <x:c r="P156" t="str">
        <x:v>R-E</x:v>
      </x:c>
      <x:c r="Q156" s="12" t="n">
        <x:v>2.69</x:v>
      </x:c>
      <x:c r="R156" s="12" t="n">
        <x:v>3.73</x:v>
      </x:c>
      <x:c r="S156" s="12" t="n">
        <x:v>3.39</x:v>
      </x:c>
      <x:c r="T156" s="12" t="n">
        <x:v>3.67</x:v>
      </x:c>
      <x:c r="U156" s="12" t="n">
        <x:v>3.59</x:v>
      </x:c>
      <x:c r="V156" s="12" t="n">
        <x:v>3.01</x:v>
      </x:c>
      <x:c r="W156" s="12" t="n">
        <x:f>ROUND((Q156*0.24)+(R156*0.22)+(S156*0.16)+(T156*0.18)+(U156*0.10)+(V156*0.10),2)</x:f>
        <x:v>3.33</x:v>
      </x:c>
      <x:c r="X156" t="str">
        <x:f>IF(W156&gt;=3.55,"Pass","Fail")</x:f>
        <x:v>Fail</x:v>
      </x:c>
      <x:c r="Y156" t="str">
        <x:v>camera blocks work</x:v>
      </x:c>
      <x:c r="Z156" t="str">
        <x:v>QA note: Too much is being implied. The hand only and ceiling electrical box, wires are in the scene, but the motion does not demonstrate the actual repair step. The tool silhouette is acceptable; the mechanics are the weak part. For this electrical example, the main judgment is still whether the viewer can copy the motion.</x:v>
      </x:c>
      <x:c r="AA156" t="str">
        <x:v>Use a reference image for the hand only and specify its grip/orientation in plain language.</x:v>
      </x:c>
      <x:c r="AB156" t="str">
        <x:v>Low</x:v>
      </x:c>
      <x:c r="AC156" t="str"/>
      <x:c r="AD156" t="str">
        <x:v>Planning dataset only; scores are plausible placeholders, not vendor claims.</x:v>
      </x:c>
    </x:row>
    <x:row r="157">
      <x:c r="A157" t="str">
        <x:v>S026-Vidu-STR</x:v>
      </x:c>
      <x:c r="B157" t="str">
        <x:v>S026</x:v>
      </x:c>
      <x:c r="C157" t="str">
        <x:v>Electrical</x:v>
      </x:c>
      <x:c r="D157" t="str">
        <x:v>lighting</x:v>
      </x:c>
      <x:c r="E157" t="str">
        <x:v>tucking</x:v>
      </x:c>
      <x:c r="F157" t="n">
        <x:v>3</x:v>
      </x:c>
      <x:c r="G157" t="str">
        <x:v>fold wires back into a ceiling box without pinching them</x:v>
      </x:c>
      <x:c r="H157" t="str">
        <x:v>hand only</x:v>
      </x:c>
      <x:c r="I157" t="str">
        <x:v>ceiling electrical box, wires</x:v>
      </x:c>
      <x:c r="J157" t="str">
        <x:v>Vidu 2.0</x:v>
      </x:c>
      <x:c r="K157" t="str">
        <x:v>Structured Action-Object-Tool</x:v>
      </x:c>
      <x:c r="L157" t="str">
        <x:v>Action, tool, object, grip, contact point, start/end states.</x:v>
      </x:c>
      <x:c r="M157" t="str">
        <x:v>Close-up realistic instructional DIY video: fold wires back into a ceiling box without pinching them. Show hand only working on ceiling electrical box, wires. Hands visible, stable camera, no text overlay, neutral shop lighting. Action=tucking; tool=hand only; object/material=ceiling electrical box, wires; show tool-to-object contact; start state, motion, and finished state all visible.</x:v>
      </x:c>
      <x:c r="N157" s="14" t="n">
        <x:v>5</x:v>
      </x:c>
      <x:c r="O157" s="14" t="n">
        <x:v>100265</x:v>
      </x:c>
      <x:c r="P157" t="str">
        <x:v>R-D</x:v>
      </x:c>
      <x:c r="Q157" s="12" t="n">
        <x:v>3.63</x:v>
      </x:c>
      <x:c r="R157" s="12" t="n">
        <x:v>3.51</x:v>
      </x:c>
      <x:c r="S157" s="12" t="n">
        <x:v>3.44</x:v>
      </x:c>
      <x:c r="T157" s="12" t="n">
        <x:v>3.35</x:v>
      </x:c>
      <x:c r="U157" s="12" t="n">
        <x:v>3.12</x:v>
      </x:c>
      <x:c r="V157" s="12" t="n">
        <x:v>3.62</x:v>
      </x:c>
      <x:c r="W157" s="12" t="n">
        <x:f>ROUND((Q157*0.24)+(R157*0.22)+(S157*0.16)+(T157*0.18)+(U157*0.10)+(V157*0.10),2)</x:f>
        <x:v>3.47</x:v>
      </x:c>
      <x:c r="X157" t="str">
        <x:f>IF(W157&gt;=3.55,"Pass","Fail")</x:f>
        <x:v>Fail</x:v>
      </x:c>
      <x:c r="Y157" t="str">
        <x:v>camera blocks work</x:v>
      </x:c>
      <x:c r="Z157" t="str">
        <x:v>Clip review: The clip looks like generic DIY stock footage rather than this specific step. The main problem is camera blocks work, and the end state is not verifiable. I would keep the same camera angle but ask for a tighter view of the contact point. For this electrical example, the main judgment is still whether the viewer can copy the motion.</x:v>
      </x:c>
      <x:c r="AA157" t="str">
        <x:v>Move safety language earlier in the prompt and remove cinematic camera instructions.</x:v>
      </x:c>
      <x:c r="AB157" t="str">
        <x:v>High</x:v>
      </x:c>
      <x:c r="AC157" t="str"/>
      <x:c r="AD157" t="str">
        <x:v>Planning dataset only; scores are plausible placeholders, not vendor claims.</x:v>
      </x:c>
    </x:row>
    <x:row r="158">
      <x:c r="A158" t="str">
        <x:v>S027-Veo-MET</x:v>
      </x:c>
      <x:c r="B158" t="str">
        <x:v>S027</x:v>
      </x:c>
      <x:c r="C158" t="str">
        <x:v>Electrical</x:v>
      </x:c>
      <x:c r="D158" t="str">
        <x:v>switch install</x:v>
      </x:c>
      <x:c r="E158" t="str">
        <x:v>placing</x:v>
      </x:c>
      <x:c r="F158" t="n">
        <x:v>3</x:v>
      </x:c>
      <x:c r="G158" t="str">
        <x:v>place a single-pole switch into the wall box right side up</x:v>
      </x:c>
      <x:c r="H158" t="str">
        <x:v>single-pole switch</x:v>
      </x:c>
      <x:c r="I158" t="str">
        <x:v>wall box</x:v>
      </x:c>
      <x:c r="J158" t="str">
        <x:v>Veo 3.1</x:v>
      </x:c>
      <x:c r="K158" t="str">
        <x:v>Metadata-Enriched</x:v>
      </x:c>
      <x:c r="L158" t="str">
        <x:v>Uses clipDescription, clipSummary, toolNames, suppliesNames, processTechniques, safetyEquipment.</x:v>
      </x:c>
      <x:c r="M158" t="str">
        <x:v>Close-up realistic instructional DIY video: place a single-pole switch into the wall box right side up. Show single-pole switch working on wall box. Hands visible, stable camera, no text overlay, neutral shop lighting. clipDescription='place a single-pole switch into the wall box right side up'. clipSummary='one practical repair step'. toolNames='single-pole switch'. suppliesNames='wall box'. processTechnique='placing'. Safety cue: use normal homeowner precautions and avoid risky shortcuts.</x:v>
      </x:c>
      <x:c r="N158" s="14" t="n">
        <x:v>8</x:v>
      </x:c>
      <x:c r="O158" s="14" t="n">
        <x:v>100270</x:v>
      </x:c>
      <x:c r="P158" t="str">
        <x:v>R-E</x:v>
      </x:c>
      <x:c r="Q158" s="12" t="n">
        <x:v>4.74</x:v>
      </x:c>
      <x:c r="R158" s="12" t="n">
        <x:v>4.26</x:v>
      </x:c>
      <x:c r="S158" s="12" t="n">
        <x:v>4.76</x:v>
      </x:c>
      <x:c r="T158" s="12" t="n">
        <x:v>4.73</x:v>
      </x:c>
      <x:c r="U158" s="12" t="n">
        <x:v>4.03</x:v>
      </x:c>
      <x:c r="V158" s="12" t="n">
        <x:v>4.19</x:v>
      </x:c>
      <x:c r="W158" s="12" t="n">
        <x:f>ROUND((Q158*0.24)+(R158*0.22)+(S158*0.16)+(T158*0.18)+(U158*0.10)+(V158*0.10),2)</x:f>
        <x:v>4.51</x:v>
      </x:c>
      <x:c r="X158" t="str">
        <x:f>IF(W158&gt;=3.55,"Pass","Fail")</x:f>
        <x:v>Pass</x:v>
      </x:c>
      <x:c r="Y158" t="str">
        <x:v>none</x:v>
      </x:c>
      <x:c r="Z158" t="str">
        <x:v>Clip review: Clear enough for a learner. The workpiece does not wander and the camera stays on the wall box; I would still add a freeze or caption after generation. The mistake appears late, so a simple thumbnail review would probably miss it. For this electrical example, the main judgment is still whether the viewer can copy the motion.</x:v>
      </x:c>
      <x:c r="AA158" t="str">
        <x:v>No immediate re-run; keep as candidate and verify with a second rater.</x:v>
      </x:c>
      <x:c r="AB158" t="str">
        <x:v>High</x:v>
      </x:c>
      <x:c r="AC158" t="str"/>
      <x:c r="AD158" t="str">
        <x:v>Planning dataset only; scores are plausible placeholders, not vendor claims.</x:v>
      </x:c>
    </x:row>
    <x:row r="159">
      <x:c r="A159" t="str">
        <x:v>S027-Sora-MET</x:v>
      </x:c>
      <x:c r="B159" t="str">
        <x:v>S027</x:v>
      </x:c>
      <x:c r="C159" t="str">
        <x:v>Electrical</x:v>
      </x:c>
      <x:c r="D159" t="str">
        <x:v>switch install</x:v>
      </x:c>
      <x:c r="E159" t="str">
        <x:v>placing</x:v>
      </x:c>
      <x:c r="F159" t="n">
        <x:v>3</x:v>
      </x:c>
      <x:c r="G159" t="str">
        <x:v>place a single-pole switch into the wall box right side up</x:v>
      </x:c>
      <x:c r="H159" t="str">
        <x:v>single-pole switch</x:v>
      </x:c>
      <x:c r="I159" t="str">
        <x:v>wall box</x:v>
      </x:c>
      <x:c r="J159" t="str">
        <x:v>Sora 2 Pro</x:v>
      </x:c>
      <x:c r="K159" t="str">
        <x:v>Metadata-Enriched</x:v>
      </x:c>
      <x:c r="L159" t="str">
        <x:v>Uses clipDescription, clipSummary, toolNames, suppliesNames, processTechniques, safetyEquipment.</x:v>
      </x:c>
      <x:c r="M159" t="str">
        <x:v>Close-up realistic instructional DIY video: place a single-pole switch into the wall box right side up. Show single-pole switch working on wall box. Hands visible, stable camera, no text overlay, neutral shop lighting. clipDescription='place a single-pole switch into the wall box right side up'. clipSummary='one practical repair step'. toolNames='single-pole switch'. suppliesNames='wall box'. processTechnique='placing'. Safety cue: use normal homeowner precautions and avoid risky shortcuts.</x:v>
      </x:c>
      <x:c r="N159" s="14" t="n">
        <x:v>8</x:v>
      </x:c>
      <x:c r="O159" s="14" t="n">
        <x:v>100271</x:v>
      </x:c>
      <x:c r="P159" t="str">
        <x:v>R-B</x:v>
      </x:c>
      <x:c r="Q159" s="12" t="n">
        <x:v>3.82</x:v>
      </x:c>
      <x:c r="R159" s="12" t="n">
        <x:v>3.54</x:v>
      </x:c>
      <x:c r="S159" s="12" t="n">
        <x:v>4.46</x:v>
      </x:c>
      <x:c r="T159" s="12" t="n">
        <x:v>4.85</x:v>
      </x:c>
      <x:c r="U159" s="12" t="n">
        <x:v>4.24</x:v>
      </x:c>
      <x:c r="V159" s="12" t="n">
        <x:v>3.74</x:v>
      </x:c>
      <x:c r="W159" s="12" t="n">
        <x:f>ROUND((Q159*0.24)+(R159*0.22)+(S159*0.16)+(T159*0.18)+(U159*0.10)+(V159*0.10),2)</x:f>
        <x:v>4.08</x:v>
      </x:c>
      <x:c r="X159" t="str">
        <x:f>IF(W159&gt;=3.55,"Pass","Fail")</x:f>
        <x:v>Pass</x:v>
      </x:c>
      <x:c r="Y159" t="str">
        <x:v>tool pose a little soft</x:v>
      </x:c>
      <x:c r="Z159" t="str">
        <x:v>Review note: The clip has the right ingredients but not quite the right mechanics. It needs a tighter prompt about grip, contact, and the end position. This reads better as a teaser than as an instructional clip. For this electrical example, the main judgment is still whether the viewer can copy the motion.</x:v>
      </x:c>
      <x:c r="AA159" t="str">
        <x:v>Use a reference image for the single-pole switch and specify its grip/orientation in plain language.</x:v>
      </x:c>
      <x:c r="AB159" t="str">
        <x:v>Medium-High</x:v>
      </x:c>
      <x:c r="AC159" t="str"/>
      <x:c r="AD159" t="str">
        <x:v>Planning dataset only; scores are plausible placeholders, not vendor claims.</x:v>
      </x:c>
    </x:row>
    <x:row r="160">
      <x:c r="A160" t="str">
        <x:v>S027-Runway-MET</x:v>
      </x:c>
      <x:c r="B160" t="str">
        <x:v>S027</x:v>
      </x:c>
      <x:c r="C160" t="str">
        <x:v>Electrical</x:v>
      </x:c>
      <x:c r="D160" t="str">
        <x:v>switch install</x:v>
      </x:c>
      <x:c r="E160" t="str">
        <x:v>placing</x:v>
      </x:c>
      <x:c r="F160" t="n">
        <x:v>3</x:v>
      </x:c>
      <x:c r="G160" t="str">
        <x:v>place a single-pole switch into the wall box right side up</x:v>
      </x:c>
      <x:c r="H160" t="str">
        <x:v>single-pole switch</x:v>
      </x:c>
      <x:c r="I160" t="str">
        <x:v>wall box</x:v>
      </x:c>
      <x:c r="J160" t="str">
        <x:v>Runway Gen-4.5</x:v>
      </x:c>
      <x:c r="K160" t="str">
        <x:v>Metadata-Enriched</x:v>
      </x:c>
      <x:c r="L160" t="str">
        <x:v>Uses clipDescription, clipSummary, toolNames, suppliesNames, processTechniques, safetyEquipment.</x:v>
      </x:c>
      <x:c r="M160" t="str">
        <x:v>Close-up realistic instructional DIY video: place a single-pole switch into the wall box right side up. Show single-pole switch working on wall box. Hands visible, stable camera, no text overlay, neutral shop lighting. clipDescription='place a single-pole switch into the wall box right side up'. clipSummary='one practical repair step'. toolNames='single-pole switch'. suppliesNames='wall box'. processTechnique='placing'. Safety cue: use normal homeowner precautions and avoid risky shortcuts.</x:v>
      </x:c>
      <x:c r="N160" s="14" t="n">
        <x:v>5</x:v>
      </x:c>
      <x:c r="O160" s="14" t="n">
        <x:v>100272</x:v>
      </x:c>
      <x:c r="P160" t="str">
        <x:v>R-C</x:v>
      </x:c>
      <x:c r="Q160" s="12" t="n">
        <x:v>3.93</x:v>
      </x:c>
      <x:c r="R160" s="12" t="n">
        <x:v>3.65</x:v>
      </x:c>
      <x:c r="S160" s="12" t="n">
        <x:v>4.29</x:v>
      </x:c>
      <x:c r="T160" s="12" t="n">
        <x:v>3.64</x:v>
      </x:c>
      <x:c r="U160" s="12" t="n">
        <x:v>3.54</x:v>
      </x:c>
      <x:c r="V160" s="12" t="n">
        <x:v>4.22</x:v>
      </x:c>
      <x:c r="W160" s="12" t="n">
        <x:f>ROUND((Q160*0.24)+(R160*0.22)+(S160*0.16)+(T160*0.18)+(U160*0.10)+(V160*0.10),2)</x:f>
        <x:v>3.86</x:v>
      </x:c>
      <x:c r="X160" t="str">
        <x:f>IF(W160&gt;=3.55,"Pass","Fail")</x:f>
        <x:v>Pass</x:v>
      </x:c>
      <x:c r="Y160" t="str">
        <x:v>endpoint not visible</x:v>
      </x:c>
      <x:c r="Z160" t="str">
        <x:v>Review note: The clip has the right ingredients but not quite the right mechanics. It needs a tighter prompt about grip, contact, and the end position. The prompt should prioritize hand path over cinematic lighting. For this electrical example, the main judgment is still whether the viewer can copy the motion.</x:v>
      </x:c>
      <x:c r="AA160" t="str">
        <x:v>Break the action into start, contact, movement, and finish; ban extra tools and hand morphing.</x:v>
      </x:c>
      <x:c r="AB160" t="str">
        <x:v>Medium-High</x:v>
      </x:c>
      <x:c r="AC160" t="str"/>
      <x:c r="AD160" t="str">
        <x:v>Synthetic benchmark entry; generated clip URL should be filled after API run.</x:v>
      </x:c>
    </x:row>
    <x:row r="161">
      <x:c r="A161" t="str">
        <x:v>S027-Kling-MET</x:v>
      </x:c>
      <x:c r="B161" t="str">
        <x:v>S027</x:v>
      </x:c>
      <x:c r="C161" t="str">
        <x:v>Electrical</x:v>
      </x:c>
      <x:c r="D161" t="str">
        <x:v>switch install</x:v>
      </x:c>
      <x:c r="E161" t="str">
        <x:v>placing</x:v>
      </x:c>
      <x:c r="F161" t="n">
        <x:v>3</x:v>
      </x:c>
      <x:c r="G161" t="str">
        <x:v>place a single-pole switch into the wall box right side up</x:v>
      </x:c>
      <x:c r="H161" t="str">
        <x:v>single-pole switch</x:v>
      </x:c>
      <x:c r="I161" t="str">
        <x:v>wall box</x:v>
      </x:c>
      <x:c r="J161" t="str">
        <x:v>Kling v3.0 (Replicate)</x:v>
      </x:c>
      <x:c r="K161" t="str">
        <x:v>Metadata-Enriched</x:v>
      </x:c>
      <x:c r="L161" t="str">
        <x:v>Uses clipDescription, clipSummary, toolNames, suppliesNames, processTechniques, safetyEquipment.</x:v>
      </x:c>
      <x:c r="M161" t="str">
        <x:v>Close-up realistic instructional DIY video: place a single-pole switch into the wall box right side up. Show single-pole switch working on wall box. Hands visible, stable camera, no text overlay, neutral shop lighting. clipDescription='place a single-pole switch into the wall box right side up'. clipSummary='one practical repair step'. toolNames='single-pole switch'. suppliesNames='wall box'. processTechnique='placing'. Safety cue: use normal homeowner precautions and avoid risky shortcuts.</x:v>
      </x:c>
      <x:c r="N161" s="14" t="n">
        <x:v>10</x:v>
      </x:c>
      <x:c r="O161" s="14" t="n">
        <x:v>100273</x:v>
      </x:c>
      <x:c r="P161" t="str">
        <x:v>R-E</x:v>
      </x:c>
      <x:c r="Q161" s="12" t="n">
        <x:v>4.23</x:v>
      </x:c>
      <x:c r="R161" s="12" t="n">
        <x:v>3.57</x:v>
      </x:c>
      <x:c r="S161" s="12" t="n">
        <x:v>3.98</x:v>
      </x:c>
      <x:c r="T161" s="12" t="n">
        <x:v>3.41</x:v>
      </x:c>
      <x:c r="U161" s="12" t="n">
        <x:v>3.47</x:v>
      </x:c>
      <x:c r="V161" s="12" t="n">
        <x:v>3.91</x:v>
      </x:c>
      <x:c r="W161" s="12" t="n">
        <x:f>ROUND((Q161*0.24)+(R161*0.22)+(S161*0.16)+(T161*0.18)+(U161*0.10)+(V161*0.10),2)</x:f>
        <x:v>3.79</x:v>
      </x:c>
      <x:c r="X161" t="str">
        <x:f>IF(W161&gt;=3.55,"Pass","Fail")</x:f>
        <x:v>Pass</x:v>
      </x:c>
      <x:c r="Y161" t="str">
        <x:v>minor continuity jump</x:v>
      </x:c>
      <x:c r="Z161" t="str">
        <x:v>Review note: The intention is clear, especially if you already know the step. A novice might miss the key detail because this issue appears right where the action should be most explicit: minor continuity jump. This would be safer as a reference-aided run than a text-only run. For this electrical example, the main judgment is still whether the viewer can copy the motion.</x:v>
      </x:c>
      <x:c r="AA161" t="str">
        <x:v>Use sequential context only for continuity, not for adding previous/next steps into the frame.</x:v>
      </x:c>
      <x:c r="AB161" t="str">
        <x:v>Medium-High</x:v>
      </x:c>
      <x:c r="AC161" t="str"/>
      <x:c r="AD161" t="str">
        <x:v>Planning dataset only; scores are plausible placeholders, not vendor claims.</x:v>
      </x:c>
    </x:row>
    <x:row r="162">
      <x:c r="A162" t="str">
        <x:v>S027-Pika-MET</x:v>
      </x:c>
      <x:c r="B162" t="str">
        <x:v>S027</x:v>
      </x:c>
      <x:c r="C162" t="str">
        <x:v>Electrical</x:v>
      </x:c>
      <x:c r="D162" t="str">
        <x:v>switch install</x:v>
      </x:c>
      <x:c r="E162" t="str">
        <x:v>placing</x:v>
      </x:c>
      <x:c r="F162" t="n">
        <x:v>3</x:v>
      </x:c>
      <x:c r="G162" t="str">
        <x:v>place a single-pole switch into the wall box right side up</x:v>
      </x:c>
      <x:c r="H162" t="str">
        <x:v>single-pole switch</x:v>
      </x:c>
      <x:c r="I162" t="str">
        <x:v>wall box</x:v>
      </x:c>
      <x:c r="J162" t="str">
        <x:v>Pika 2.2</x:v>
      </x:c>
      <x:c r="K162" t="str">
        <x:v>Metadata-Enriched</x:v>
      </x:c>
      <x:c r="L162" t="str">
        <x:v>Uses clipDescription, clipSummary, toolNames, suppliesNames, processTechniques, safetyEquipment.</x:v>
      </x:c>
      <x:c r="M162" t="str">
        <x:v>Close-up realistic instructional DIY video: place a single-pole switch into the wall box right side up. Show single-pole switch working on wall box. Hands visible, stable camera, no text overlay, neutral shop lighting. clipDescription='place a single-pole switch into the wall box right side up'. clipSummary='one practical repair step'. toolNames='single-pole switch'. suppliesNames='wall box'. processTechnique='placing'. Safety cue: use normal homeowner precautions and avoid risky shortcuts.</x:v>
      </x:c>
      <x:c r="N162" s="14" t="n">
        <x:v>5</x:v>
      </x:c>
      <x:c r="O162" s="14" t="n">
        <x:v>100274</x:v>
      </x:c>
      <x:c r="P162" t="str">
        <x:v>R-C</x:v>
      </x:c>
      <x:c r="Q162" s="12" t="n">
        <x:v>3.53</x:v>
      </x:c>
      <x:c r="R162" s="12" t="n">
        <x:v>3.08</x:v>
      </x:c>
      <x:c r="S162" s="12" t="n">
        <x:v>3.03</x:v>
      </x:c>
      <x:c r="T162" s="12" t="n">
        <x:v>3.4</x:v>
      </x:c>
      <x:c r="U162" s="12" t="n">
        <x:v>3.11</x:v>
      </x:c>
      <x:c r="V162" s="12" t="n">
        <x:v>3.3</x:v>
      </x:c>
      <x:c r="W162" s="12" t="n">
        <x:f>ROUND((Q162*0.24)+(R162*0.22)+(S162*0.16)+(T162*0.18)+(U162*0.10)+(V162*0.10),2)</x:f>
        <x:v>3.26</x:v>
      </x:c>
      <x:c r="X162" t="str">
        <x:f>IF(W162&gt;=3.55,"Pass","Fail")</x:f>
        <x:v>Fail</x:v>
      </x:c>
      <x:c r="Y162" t="str">
        <x:v>scale of tool is off</x:v>
      </x:c>
      <x:c r="Z162" t="str">
        <x:v>Rater note: A reviewer would likely reject this. It may be visually attractive, but the tool/object relationship breaks during the important moment. I marked it down for the key moment rather than the opening setup. For this electrical example, the main judgment is still whether the viewer can copy the motion.</x:v>
      </x:c>
      <x:c r="AA162" t="str">
        <x:v>Add a one-sentence end-state requirement: viewer must see the completed placing result for one full second.</x:v>
      </x:c>
      <x:c r="AB162" t="str">
        <x:v>Medium</x:v>
      </x:c>
      <x:c r="AC162" t="str"/>
      <x:c r="AD162" t="str">
        <x:v>Mock rater record for experiment design; audit against real video outputs before publication.</x:v>
      </x:c>
    </x:row>
    <x:row r="163">
      <x:c r="A163" t="str">
        <x:v>S027-Vidu-MET</x:v>
      </x:c>
      <x:c r="B163" t="str">
        <x:v>S027</x:v>
      </x:c>
      <x:c r="C163" t="str">
        <x:v>Electrical</x:v>
      </x:c>
      <x:c r="D163" t="str">
        <x:v>switch install</x:v>
      </x:c>
      <x:c r="E163" t="str">
        <x:v>placing</x:v>
      </x:c>
      <x:c r="F163" t="n">
        <x:v>3</x:v>
      </x:c>
      <x:c r="G163" t="str">
        <x:v>place a single-pole switch into the wall box right side up</x:v>
      </x:c>
      <x:c r="H163" t="str">
        <x:v>single-pole switch</x:v>
      </x:c>
      <x:c r="I163" t="str">
        <x:v>wall box</x:v>
      </x:c>
      <x:c r="J163" t="str">
        <x:v>Vidu 2.0</x:v>
      </x:c>
      <x:c r="K163" t="str">
        <x:v>Metadata-Enriched</x:v>
      </x:c>
      <x:c r="L163" t="str">
        <x:v>Uses clipDescription, clipSummary, toolNames, suppliesNames, processTechniques, safetyEquipment.</x:v>
      </x:c>
      <x:c r="M163" t="str">
        <x:v>Close-up realistic instructional DIY video: place a single-pole switch into the wall box right side up. Show single-pole switch working on wall box. Hands visible, stable camera, no text overlay, neutral shop lighting. clipDescription='place a single-pole switch into the wall box right side up'. clipSummary='one practical repair step'. toolNames='single-pole switch'. suppliesNames='wall box'. processTechnique='placing'. Safety cue: use normal homeowner precautions and avoid risky shortcuts.</x:v>
      </x:c>
      <x:c r="N163" s="14" t="n">
        <x:v>5</x:v>
      </x:c>
      <x:c r="O163" s="14" t="n">
        <x:v>100275</x:v>
      </x:c>
      <x:c r="P163" t="str">
        <x:v>R-E</x:v>
      </x:c>
      <x:c r="Q163" s="12" t="n">
        <x:v>3.26</x:v>
      </x:c>
      <x:c r="R163" s="12" t="n">
        <x:v>3.87</x:v>
      </x:c>
      <x:c r="S163" s="12" t="n">
        <x:v>3.07</x:v>
      </x:c>
      <x:c r="T163" s="12" t="n">
        <x:v>3.01</x:v>
      </x:c>
      <x:c r="U163" s="12" t="n">
        <x:v>3.1</x:v>
      </x:c>
      <x:c r="V163" s="12" t="n">
        <x:v>3.17</x:v>
      </x:c>
      <x:c r="W163" s="12" t="n">
        <x:f>ROUND((Q163*0.24)+(R163*0.22)+(S163*0.16)+(T163*0.18)+(U163*0.10)+(V163*0.10),2)</x:f>
        <x:v>3.29</x:v>
      </x:c>
      <x:c r="X163" t="str">
        <x:f>IF(W163&gt;=3.55,"Pass","Fail")</x:f>
        <x:v>Fail</x:v>
      </x:c>
      <x:c r="Y163" t="str">
        <x:v>sequence reversed</x:v>
      </x:c>
      <x:c r="Z163" t="str">
        <x:v>Review note: This should fail the instructional bar. The model gestures toward the task, but the failure mode prevents a learner from trusting the technique: sequence reversed. The prompt should prioritize hand path over cinematic lighting. For this electrical example, the main judgment is still whether the viewer can copy the motion.</x:v>
      </x:c>
      <x:c r="AA163" t="str">
        <x:v>Break the action into start, contact, movement, and finish; ban extra tools and hand morphing.</x:v>
      </x:c>
      <x:c r="AB163" t="str">
        <x:v>High</x:v>
      </x:c>
      <x:c r="AC163" t="str"/>
      <x:c r="AD163" t="str">
        <x:v>Planning dataset only; scores are plausible placeholders, not vendor claims.</x:v>
      </x:c>
    </x:row>
    <x:row r="164">
      <x:c r="A164" t="str">
        <x:v>S028-Veo-REF</x:v>
      </x:c>
      <x:c r="B164" t="str">
        <x:v>S028</x:v>
      </x:c>
      <x:c r="C164" t="str">
        <x:v>Electrical</x:v>
      </x:c>
      <x:c r="D164" t="str">
        <x:v>switch install</x:v>
      </x:c>
      <x:c r="E164" t="str">
        <x:v>fastening</x:v>
      </x:c>
      <x:c r="F164" t="n">
        <x:v>3</x:v>
      </x:c>
      <x:c r="G164" t="str">
        <x:v>fasten a switch yoke to the electrical box ears</x:v>
      </x:c>
      <x:c r="H164" t="str">
        <x:v>screwdriver</x:v>
      </x:c>
      <x:c r="I164" t="str">
        <x:v>switch yoke, box ears</x:v>
      </x:c>
      <x:c r="J164" t="str">
        <x:v>Veo 3.1</x:v>
      </x:c>
      <x:c r="K164" t="str">
        <x:v>Reference-Guided</x:v>
      </x:c>
      <x:c r="L164" t="str">
        <x:v>Adds reference-tool/image cue and brand-agnostic visual constraints.</x:v>
      </x:c>
      <x:c r="M164" t="str">
        <x:v>Close-up realistic instructional DIY video: fasten a switch yoke to the electrical box ears. Show screwdriver working on switch yoke, box ears. Hands visible, stable camera, no text overlay, neutral shop lighting. Use a generic, brand-agnostic visual reference for the screwdriver; preserve the tool shape and scale; the screwdriver must remain in contact with switch yoke, box ears during the key motion.</x:v>
      </x:c>
      <x:c r="N164" s="14" t="n">
        <x:v>8</x:v>
      </x:c>
      <x:c r="O164" s="14" t="n">
        <x:v>100280</x:v>
      </x:c>
      <x:c r="P164" t="str">
        <x:v>R-D</x:v>
      </x:c>
      <x:c r="Q164" s="12" t="n">
        <x:v>4.42</x:v>
      </x:c>
      <x:c r="R164" s="12" t="n">
        <x:v>4.09</x:v>
      </x:c>
      <x:c r="S164" s="12" t="n">
        <x:v>4.3</x:v>
      </x:c>
      <x:c r="T164" s="12" t="n">
        <x:v>4.14</x:v>
      </x:c>
      <x:c r="U164" s="12" t="n">
        <x:v>3.6</x:v>
      </x:c>
      <x:c r="V164" s="12" t="n">
        <x:v>4.01</x:v>
      </x:c>
      <x:c r="W164" s="12" t="n">
        <x:f>ROUND((Q164*0.24)+(R164*0.22)+(S164*0.16)+(T164*0.18)+(U164*0.10)+(V164*0.10),2)</x:f>
        <x:v>4.15</x:v>
      </x:c>
      <x:c r="X164" t="str">
        <x:f>IF(W164&gt;=3.55,"Pass","Fail")</x:f>
        <x:v>Pass</x:v>
      </x:c>
      <x:c r="Y164" t="str">
        <x:v>motion slightly compressed</x:v>
      </x:c>
      <x:c r="Z164" t="str">
        <x:v>QA note: The clip feels like a usable shop-demo take. I can see the hand position and the switch yoke, box ears; it just needs a slightly longer hold on the final state. The clip needs a verifier pass before it can enter the training pool. For this electrical example, the main judgment is still whether the viewer can copy the motion.</x:v>
      </x:c>
      <x:c r="AA164" t="str">
        <x:v>Use sequential context only for continuity, not for adding previous/next steps into the frame.</x:v>
      </x:c>
      <x:c r="AB164" t="str">
        <x:v>Medium-High</x:v>
      </x:c>
      <x:c r="AC164" t="str"/>
      <x:c r="AD164" t="str">
        <x:v>Mock rater record for experiment design; audit against real video outputs before publication.</x:v>
      </x:c>
    </x:row>
    <x:row r="165">
      <x:c r="A165" t="str">
        <x:v>S028-Sora-REF</x:v>
      </x:c>
      <x:c r="B165" t="str">
        <x:v>S028</x:v>
      </x:c>
      <x:c r="C165" t="str">
        <x:v>Electrical</x:v>
      </x:c>
      <x:c r="D165" t="str">
        <x:v>switch install</x:v>
      </x:c>
      <x:c r="E165" t="str">
        <x:v>fastening</x:v>
      </x:c>
      <x:c r="F165" t="n">
        <x:v>3</x:v>
      </x:c>
      <x:c r="G165" t="str">
        <x:v>fasten a switch yoke to the electrical box ears</x:v>
      </x:c>
      <x:c r="H165" t="str">
        <x:v>screwdriver</x:v>
      </x:c>
      <x:c r="I165" t="str">
        <x:v>switch yoke, box ears</x:v>
      </x:c>
      <x:c r="J165" t="str">
        <x:v>Sora 2 Pro</x:v>
      </x:c>
      <x:c r="K165" t="str">
        <x:v>Reference-Guided</x:v>
      </x:c>
      <x:c r="L165" t="str">
        <x:v>Adds reference-tool/image cue and brand-agnostic visual constraints.</x:v>
      </x:c>
      <x:c r="M165" t="str">
        <x:v>Close-up realistic instructional DIY video: fasten a switch yoke to the electrical box ears. Show screwdriver working on switch yoke, box ears. Hands visible, stable camera, no text overlay, neutral shop lighting. Use a generic, brand-agnostic visual reference for the screwdriver; preserve the tool shape and scale; the screwdriver must remain in contact with switch yoke, box ears during the key motion.</x:v>
      </x:c>
      <x:c r="N165" s="14" t="n">
        <x:v>8</x:v>
      </x:c>
      <x:c r="O165" s="14" t="n">
        <x:v>100281</x:v>
      </x:c>
      <x:c r="P165" t="str">
        <x:v>R-E</x:v>
      </x:c>
      <x:c r="Q165" s="12" t="n">
        <x:v>4.12</x:v>
      </x:c>
      <x:c r="R165" s="12" t="n">
        <x:v>4.41</x:v>
      </x:c>
      <x:c r="S165" s="12" t="n">
        <x:v>4.18</x:v>
      </x:c>
      <x:c r="T165" s="12" t="n">
        <x:v>3.9</x:v>
      </x:c>
      <x:c r="U165" s="12" t="n">
        <x:v>4.44</x:v>
      </x:c>
      <x:c r="V165" s="12" t="n">
        <x:v>4.01</x:v>
      </x:c>
      <x:c r="W165" s="12" t="n">
        <x:f>ROUND((Q165*0.24)+(R165*0.22)+(S165*0.16)+(T165*0.18)+(U165*0.10)+(V165*0.10),2)</x:f>
        <x:v>4.17</x:v>
      </x:c>
      <x:c r="X165" t="str">
        <x:f>IF(W165&gt;=3.55,"Pass","Fail")</x:f>
        <x:v>Pass</x:v>
      </x:c>
      <x:c r="Y165" t="str">
        <x:v>endpoint not visible</x:v>
      </x:c>
      <x:c r="Z165" t="str">
        <x:v>Human check: Good continuity from frame to frame. The screwdriver makes visual contact with the workpiece and the motion does not feel invented. This reads better as a teaser than as an instructional clip. For this electrical example, the main judgment is still whether the viewer can copy the motion.</x:v>
      </x:c>
      <x:c r="AA165" t="str">
        <x:v>Ask for a static close-up and require the screwdriver to touch the switch yoke, box ears before any motion starts.</x:v>
      </x:c>
      <x:c r="AB165" t="str">
        <x:v>Medium-High</x:v>
      </x:c>
      <x:c r="AC165" t="str"/>
      <x:c r="AD165" t="str">
        <x:v>Simulated pilot row for planning; replace with blinded ratings after generating actual clips.</x:v>
      </x:c>
    </x:row>
    <x:row r="166">
      <x:c r="A166" t="str">
        <x:v>S028-Runway-REF</x:v>
      </x:c>
      <x:c r="B166" t="str">
        <x:v>S028</x:v>
      </x:c>
      <x:c r="C166" t="str">
        <x:v>Electrical</x:v>
      </x:c>
      <x:c r="D166" t="str">
        <x:v>switch install</x:v>
      </x:c>
      <x:c r="E166" t="str">
        <x:v>fastening</x:v>
      </x:c>
      <x:c r="F166" t="n">
        <x:v>3</x:v>
      </x:c>
      <x:c r="G166" t="str">
        <x:v>fasten a switch yoke to the electrical box ears</x:v>
      </x:c>
      <x:c r="H166" t="str">
        <x:v>screwdriver</x:v>
      </x:c>
      <x:c r="I166" t="str">
        <x:v>switch yoke, box ears</x:v>
      </x:c>
      <x:c r="J166" t="str">
        <x:v>Runway Gen-4.5</x:v>
      </x:c>
      <x:c r="K166" t="str">
        <x:v>Reference-Guided</x:v>
      </x:c>
      <x:c r="L166" t="str">
        <x:v>Adds reference-tool/image cue and brand-agnostic visual constraints.</x:v>
      </x:c>
      <x:c r="M166" t="str">
        <x:v>Close-up realistic instructional DIY video: fasten a switch yoke to the electrical box ears. Show screwdriver working on switch yoke, box ears. Hands visible, stable camera, no text overlay, neutral shop lighting. Use a generic, brand-agnostic visual reference for the screwdriver; preserve the tool shape and scale; the screwdriver must remain in contact with switch yoke, box ears during the key motion.</x:v>
      </x:c>
      <x:c r="N166" s="14" t="n">
        <x:v>5</x:v>
      </x:c>
      <x:c r="O166" s="14" t="n">
        <x:v>100282</x:v>
      </x:c>
      <x:c r="P166" t="str">
        <x:v>R-B</x:v>
      </x:c>
      <x:c r="Q166" s="12" t="n">
        <x:v>4.25</x:v>
      </x:c>
      <x:c r="R166" s="12" t="n">
        <x:v>3.28</x:v>
      </x:c>
      <x:c r="S166" s="12" t="n">
        <x:v>3.62</x:v>
      </x:c>
      <x:c r="T166" s="12" t="n">
        <x:v>3.82</x:v>
      </x:c>
      <x:c r="U166" s="12" t="n">
        <x:v>4.14</x:v>
      </x:c>
      <x:c r="V166" s="12" t="n">
        <x:v>3.6</x:v>
      </x:c>
      <x:c r="W166" s="12" t="n">
        <x:f>ROUND((Q166*0.24)+(R166*0.22)+(S166*0.16)+(T166*0.18)+(U166*0.10)+(V166*0.10),2)</x:f>
        <x:v>3.78</x:v>
      </x:c>
      <x:c r="X166" t="str">
        <x:f>IF(W166&gt;=3.55,"Pass","Fail")</x:f>
        <x:v>Pass</x:v>
      </x:c>
      <x:c r="Y166" t="str">
        <x:v>minor continuity jump</x:v>
      </x:c>
      <x:c r="Z166" t="str">
        <x:v>Human check: I would keep this as a rough candidate. It communicates the step, although the failure mode makes it weaker than a real sourced clip: minor continuity jump. The mistake appears late, so a simple thumbnail review would probably miss it. For this electrical example, the main judgment is still whether the viewer can copy the motion.</x:v>
      </x:c>
      <x:c r="AA166" t="str">
        <x:v>Break the action into start, contact, movement, and finish; ban extra tools and hand morphing.</x:v>
      </x:c>
      <x:c r="AB166" t="str">
        <x:v>Medium-High</x:v>
      </x:c>
      <x:c r="AC166" t="str"/>
      <x:c r="AD166" t="str">
        <x:v>Mock rater record for experiment design; audit against real video outputs before publication.</x:v>
      </x:c>
    </x:row>
    <x:row r="167">
      <x:c r="A167" t="str">
        <x:v>S028-Kling-REF</x:v>
      </x:c>
      <x:c r="B167" t="str">
        <x:v>S028</x:v>
      </x:c>
      <x:c r="C167" t="str">
        <x:v>Electrical</x:v>
      </x:c>
      <x:c r="D167" t="str">
        <x:v>switch install</x:v>
      </x:c>
      <x:c r="E167" t="str">
        <x:v>fastening</x:v>
      </x:c>
      <x:c r="F167" t="n">
        <x:v>3</x:v>
      </x:c>
      <x:c r="G167" t="str">
        <x:v>fasten a switch yoke to the electrical box ears</x:v>
      </x:c>
      <x:c r="H167" t="str">
        <x:v>screwdriver</x:v>
      </x:c>
      <x:c r="I167" t="str">
        <x:v>switch yoke, box ears</x:v>
      </x:c>
      <x:c r="J167" t="str">
        <x:v>Kling v3.0 (Replicate)</x:v>
      </x:c>
      <x:c r="K167" t="str">
        <x:v>Reference-Guided</x:v>
      </x:c>
      <x:c r="L167" t="str">
        <x:v>Adds reference-tool/image cue and brand-agnostic visual constraints.</x:v>
      </x:c>
      <x:c r="M167" t="str">
        <x:v>Close-up realistic instructional DIY video: fasten a switch yoke to the electrical box ears. Show screwdriver working on switch yoke, box ears. Hands visible, stable camera, no text overlay, neutral shop lighting. Use a generic, brand-agnostic visual reference for the screwdriver; preserve the tool shape and scale; the screwdriver must remain in contact with switch yoke, box ears during the key motion.</x:v>
      </x:c>
      <x:c r="N167" s="14" t="n">
        <x:v>10</x:v>
      </x:c>
      <x:c r="O167" s="14" t="n">
        <x:v>100283</x:v>
      </x:c>
      <x:c r="P167" t="str">
        <x:v>R-C</x:v>
      </x:c>
      <x:c r="Q167" s="12" t="n">
        <x:v>3.86</x:v>
      </x:c>
      <x:c r="R167" s="12" t="n">
        <x:v>3.61</x:v>
      </x:c>
      <x:c r="S167" s="12" t="n">
        <x:v>4.37</x:v>
      </x:c>
      <x:c r="T167" s="12" t="n">
        <x:v>3.42</x:v>
      </x:c>
      <x:c r="U167" s="12" t="n">
        <x:v>3.7</x:v>
      </x:c>
      <x:c r="V167" s="12" t="n">
        <x:v>4.45</x:v>
      </x:c>
      <x:c r="W167" s="12" t="n">
        <x:f>ROUND((Q167*0.24)+(R167*0.22)+(S167*0.16)+(T167*0.18)+(U167*0.10)+(V167*0.10),2)</x:f>
        <x:v>3.85</x:v>
      </x:c>
      <x:c r="X167" t="str">
        <x:f>IF(W167&gt;=3.55,"Pass","Fail")</x:f>
        <x:v>Pass</x:v>
      </x:c>
      <x:c r="Y167" t="str">
        <x:v>endpoint not visible</x:v>
      </x:c>
      <x:c r="Z167" t="str">
        <x:v>Clip review: Usable, but I would not show it without review. The screwdriver is recognizable, yet the exact contact point is hard to see when the hand crosses the frame. The mistake appears late, so a simple thumbnail review would probably miss it. For this electrical example, the main judgment is still whether the viewer can copy the motion.</x:v>
      </x:c>
      <x:c r="AA167" t="str">
        <x:v>Move safety language earlier in the prompt and remove cinematic camera instructions.</x:v>
      </x:c>
      <x:c r="AB167" t="str">
        <x:v>High</x:v>
      </x:c>
      <x:c r="AC167" t="str"/>
      <x:c r="AD167" t="str">
        <x:v>Synthetic benchmark entry; generated clip URL should be filled after API run.</x:v>
      </x:c>
    </x:row>
    <x:row r="168">
      <x:c r="A168" t="str">
        <x:v>S028-Pika-REF</x:v>
      </x:c>
      <x:c r="B168" t="str">
        <x:v>S028</x:v>
      </x:c>
      <x:c r="C168" t="str">
        <x:v>Electrical</x:v>
      </x:c>
      <x:c r="D168" t="str">
        <x:v>switch install</x:v>
      </x:c>
      <x:c r="E168" t="str">
        <x:v>fastening</x:v>
      </x:c>
      <x:c r="F168" t="n">
        <x:v>3</x:v>
      </x:c>
      <x:c r="G168" t="str">
        <x:v>fasten a switch yoke to the electrical box ears</x:v>
      </x:c>
      <x:c r="H168" t="str">
        <x:v>screwdriver</x:v>
      </x:c>
      <x:c r="I168" t="str">
        <x:v>switch yoke, box ears</x:v>
      </x:c>
      <x:c r="J168" t="str">
        <x:v>Pika 2.2</x:v>
      </x:c>
      <x:c r="K168" t="str">
        <x:v>Reference-Guided</x:v>
      </x:c>
      <x:c r="L168" t="str">
        <x:v>Adds reference-tool/image cue and brand-agnostic visual constraints.</x:v>
      </x:c>
      <x:c r="M168" t="str">
        <x:v>Close-up realistic instructional DIY video: fasten a switch yoke to the electrical box ears. Show screwdriver working on switch yoke, box ears. Hands visible, stable camera, no text overlay, neutral shop lighting. Use a generic, brand-agnostic visual reference for the screwdriver; preserve the tool shape and scale; the screwdriver must remain in contact with switch yoke, box ears during the key motion.</x:v>
      </x:c>
      <x:c r="N168" s="14" t="n">
        <x:v>5</x:v>
      </x:c>
      <x:c r="O168" s="14" t="n">
        <x:v>100284</x:v>
      </x:c>
      <x:c r="P168" t="str">
        <x:v>R-D</x:v>
      </x:c>
      <x:c r="Q168" s="12" t="n">
        <x:v>4.08</x:v>
      </x:c>
      <x:c r="R168" s="12" t="n">
        <x:v>3.07</x:v>
      </x:c>
      <x:c r="S168" s="12" t="n">
        <x:v>3.55</x:v>
      </x:c>
      <x:c r="T168" s="12" t="n">
        <x:v>4.02</x:v>
      </x:c>
      <x:c r="U168" s="12" t="n">
        <x:v>3.75</x:v>
      </x:c>
      <x:c r="V168" s="12" t="n">
        <x:v>3.23</x:v>
      </x:c>
      <x:c r="W168" s="12" t="n">
        <x:f>ROUND((Q168*0.24)+(R168*0.22)+(S168*0.16)+(T168*0.18)+(U168*0.10)+(V168*0.10),2)</x:f>
        <x:v>3.64</x:v>
      </x:c>
      <x:c r="X168" t="str">
        <x:f>IF(W168&gt;=3.55,"Pass","Fail")</x:f>
        <x:v>Pass</x:v>
      </x:c>
      <x:c r="Y168" t="str">
        <x:v>thread direction unclear</x:v>
      </x:c>
      <x:c r="Z168" t="str">
        <x:v>Clip review: The clip has the right ingredients but not quite the right mechanics. It needs a tighter prompt about grip, contact, and the end position. On a small preview it might pass, but full-screen review exposes the issue. For this electrical example, the main judgment is still whether the viewer can copy the motion.</x:v>
      </x:c>
      <x:c r="AA168" t="str">
        <x:v>Specify the exact contact point and do not allow the hand to cover it.</x:v>
      </x:c>
      <x:c r="AB168" t="str">
        <x:v>Medium-High</x:v>
      </x:c>
      <x:c r="AC168" t="str"/>
      <x:c r="AD168" t="str">
        <x:v>Simulated pilot row for planning; replace with blinded ratings after generating actual clips.</x:v>
      </x:c>
    </x:row>
    <x:row r="169">
      <x:c r="A169" t="str">
        <x:v>S028-Vidu-REF</x:v>
      </x:c>
      <x:c r="B169" t="str">
        <x:v>S028</x:v>
      </x:c>
      <x:c r="C169" t="str">
        <x:v>Electrical</x:v>
      </x:c>
      <x:c r="D169" t="str">
        <x:v>switch install</x:v>
      </x:c>
      <x:c r="E169" t="str">
        <x:v>fastening</x:v>
      </x:c>
      <x:c r="F169" t="n">
        <x:v>3</x:v>
      </x:c>
      <x:c r="G169" t="str">
        <x:v>fasten a switch yoke to the electrical box ears</x:v>
      </x:c>
      <x:c r="H169" t="str">
        <x:v>screwdriver</x:v>
      </x:c>
      <x:c r="I169" t="str">
        <x:v>switch yoke, box ears</x:v>
      </x:c>
      <x:c r="J169" t="str">
        <x:v>Vidu 2.0</x:v>
      </x:c>
      <x:c r="K169" t="str">
        <x:v>Reference-Guided</x:v>
      </x:c>
      <x:c r="L169" t="str">
        <x:v>Adds reference-tool/image cue and brand-agnostic visual constraints.</x:v>
      </x:c>
      <x:c r="M169" t="str">
        <x:v>Close-up realistic instructional DIY video: fasten a switch yoke to the electrical box ears. Show screwdriver working on switch yoke, box ears. Hands visible, stable camera, no text overlay, neutral shop lighting. Use a generic, brand-agnostic visual reference for the screwdriver; preserve the tool shape and scale; the screwdriver must remain in contact with switch yoke, box ears during the key motion.</x:v>
      </x:c>
      <x:c r="N169" s="14" t="n">
        <x:v>5</x:v>
      </x:c>
      <x:c r="O169" s="14" t="n">
        <x:v>100285</x:v>
      </x:c>
      <x:c r="P169" t="str">
        <x:v>R-A</x:v>
      </x:c>
      <x:c r="Q169" s="12" t="n">
        <x:v>3.12</x:v>
      </x:c>
      <x:c r="R169" s="12" t="n">
        <x:v>3.57</x:v>
      </x:c>
      <x:c r="S169" s="12" t="n">
        <x:v>3.57</x:v>
      </x:c>
      <x:c r="T169" s="12" t="n">
        <x:v>3.22</x:v>
      </x:c>
      <x:c r="U169" s="12" t="n">
        <x:v>3.11</x:v>
      </x:c>
      <x:c r="V169" s="12" t="n">
        <x:v>2.85</x:v>
      </x:c>
      <x:c r="W169" s="12" t="n">
        <x:f>ROUND((Q169*0.24)+(R169*0.22)+(S169*0.16)+(T169*0.18)+(U169*0.10)+(V169*0.10),2)</x:f>
        <x:v>3.28</x:v>
      </x:c>
      <x:c r="X169" t="str">
        <x:f>IF(W169&gt;=3.55,"Pass","Fail")</x:f>
        <x:v>Fail</x:v>
      </x:c>
      <x:c r="Y169" t="str">
        <x:v>missing contact point</x:v>
      </x:c>
      <x:c r="Z169" t="str">
        <x:v>Review note: This should fail the instructional bar. The model gestures toward the task, but the failure mode prevents a learner from trusting the technique: missing contact point. The prompt should prioritize hand path over cinematic lighting. For this electrical example, the main judgment is still whether the viewer can copy the motion.</x:v>
      </x:c>
      <x:c r="AA169" t="str">
        <x:v>Specify the exact contact point and do not allow the hand to cover it.</x:v>
      </x:c>
      <x:c r="AB169" t="str">
        <x:v>High</x:v>
      </x:c>
      <x:c r="AC169" t="str"/>
      <x:c r="AD169" t="str">
        <x:v>Planning dataset only; scores are plausible placeholders, not vendor claims.</x:v>
      </x:c>
    </x:row>
    <x:row r="170">
      <x:c r="A170" t="str">
        <x:v>S029-Veo-SEQ</x:v>
      </x:c>
      <x:c r="B170" t="str">
        <x:v>S029</x:v>
      </x:c>
      <x:c r="C170" t="str">
        <x:v>Electrical</x:v>
      </x:c>
      <x:c r="D170" t="str">
        <x:v>cover plate</x:v>
      </x:c>
      <x:c r="E170" t="str">
        <x:v>aligning</x:v>
      </x:c>
      <x:c r="F170" t="n">
        <x:v>2</x:v>
      </x:c>
      <x:c r="G170" t="str">
        <x:v>align a cover plate over a receptacle before tightening</x:v>
      </x:c>
      <x:c r="H170" t="str">
        <x:v>cover plate</x:v>
      </x:c>
      <x:c r="I170" t="str">
        <x:v>receptacle face</x:v>
      </x:c>
      <x:c r="J170" t="str">
        <x:v>Veo 3.1</x:v>
      </x:c>
      <x:c r="K170" t="str">
        <x:v>Sequential Context</x:v>
      </x:c>
      <x:c r="L170" t="str">
        <x:v>Provides previous and next step for continuity without asking for them to appear.</x:v>
      </x:c>
      <x:c r="M170" t="str">
        <x:v>Close-up realistic instructional DIY video: align a cover plate over a receptacle before tightening. Show cover plate working on receptacle face. Hands visible, stable camera, no text overlay, neutral shop lighting. This is the middle clip in a sequence. Previous step has already prepared the work area; next step will verify the result. Keep the same workpiece, camera distance, and hand orientation.</x:v>
      </x:c>
      <x:c r="N170" s="14" t="n">
        <x:v>8</x:v>
      </x:c>
      <x:c r="O170" s="14" t="n">
        <x:v>100290</x:v>
      </x:c>
      <x:c r="P170" t="str">
        <x:v>R-E</x:v>
      </x:c>
      <x:c r="Q170" s="12" t="n">
        <x:v>4.32</x:v>
      </x:c>
      <x:c r="R170" s="12" t="n">
        <x:v>4.47</x:v>
      </x:c>
      <x:c r="S170" s="12" t="n">
        <x:v>4.39</x:v>
      </x:c>
      <x:c r="T170" s="12" t="n">
        <x:v>3.81</x:v>
      </x:c>
      <x:c r="U170" s="12" t="n">
        <x:v>3.82</x:v>
      </x:c>
      <x:c r="V170" s="12" t="n">
        <x:v>4.13</x:v>
      </x:c>
      <x:c r="W170" s="12" t="n">
        <x:f>ROUND((Q170*0.24)+(R170*0.22)+(S170*0.16)+(T170*0.18)+(U170*0.10)+(V170*0.10),2)</x:f>
        <x:v>4.2</x:v>
      </x:c>
      <x:c r="X170" t="str">
        <x:f>IF(W170&gt;=3.55,"Pass","Fail")</x:f>
        <x:v>Pass</x:v>
      </x:c>
      <x:c r="Y170" t="str">
        <x:v>tool pose a little soft</x:v>
      </x:c>
      <x:c r="Z170" t="str">
        <x:v>Clip review: Clear enough for a learner. The workpiece does not wander and the camera stays on the receptacle face; I would still add a freeze or caption after generation. The most important fix is to show the before-and-after state without a cut. Continuity is useful here, but it cannot replace showing the actual contact point.</x:v>
      </x:c>
      <x:c r="AA170" t="str">
        <x:v>Specify the exact contact point and do not allow the hand to cover it.</x:v>
      </x:c>
      <x:c r="AB170" t="str">
        <x:v>High</x:v>
      </x:c>
      <x:c r="AC170" t="str"/>
      <x:c r="AD170" t="str">
        <x:v>Simulated pilot row for planning; replace with blinded ratings after generating actual clips.</x:v>
      </x:c>
    </x:row>
    <x:row r="171">
      <x:c r="A171" t="str">
        <x:v>S029-Sora-SEQ</x:v>
      </x:c>
      <x:c r="B171" t="str">
        <x:v>S029</x:v>
      </x:c>
      <x:c r="C171" t="str">
        <x:v>Electrical</x:v>
      </x:c>
      <x:c r="D171" t="str">
        <x:v>cover plate</x:v>
      </x:c>
      <x:c r="E171" t="str">
        <x:v>aligning</x:v>
      </x:c>
      <x:c r="F171" t="n">
        <x:v>2</x:v>
      </x:c>
      <x:c r="G171" t="str">
        <x:v>align a cover plate over a receptacle before tightening</x:v>
      </x:c>
      <x:c r="H171" t="str">
        <x:v>cover plate</x:v>
      </x:c>
      <x:c r="I171" t="str">
        <x:v>receptacle face</x:v>
      </x:c>
      <x:c r="J171" t="str">
        <x:v>Sora 2 Pro</x:v>
      </x:c>
      <x:c r="K171" t="str">
        <x:v>Sequential Context</x:v>
      </x:c>
      <x:c r="L171" t="str">
        <x:v>Provides previous and next step for continuity without asking for them to appear.</x:v>
      </x:c>
      <x:c r="M171" t="str">
        <x:v>Close-up realistic instructional DIY video: align a cover plate over a receptacle before tightening. Show cover plate working on receptacle face. Hands visible, stable camera, no text overlay, neutral shop lighting. This is the middle clip in a sequence. Previous step has already prepared the work area; next step will verify the result. Keep the same workpiece, camera distance, and hand orientation.</x:v>
      </x:c>
      <x:c r="N171" s="14" t="n">
        <x:v>8</x:v>
      </x:c>
      <x:c r="O171" s="14" t="n">
        <x:v>100291</x:v>
      </x:c>
      <x:c r="P171" t="str">
        <x:v>R-B</x:v>
      </x:c>
      <x:c r="Q171" s="12" t="n">
        <x:v>4.69</x:v>
      </x:c>
      <x:c r="R171" s="12" t="n">
        <x:v>4.9</x:v>
      </x:c>
      <x:c r="S171" s="12" t="n">
        <x:v>4.26</x:v>
      </x:c>
      <x:c r="T171" s="12" t="n">
        <x:v>4.04</x:v>
      </x:c>
      <x:c r="U171" s="12" t="n">
        <x:v>3.98</x:v>
      </x:c>
      <x:c r="V171" s="12" t="n">
        <x:v>3.98</x:v>
      </x:c>
      <x:c r="W171" s="12" t="n">
        <x:f>ROUND((Q171*0.24)+(R171*0.22)+(S171*0.16)+(T171*0.18)+(U171*0.10)+(V171*0.10),2)</x:f>
        <x:v>4.41</x:v>
      </x:c>
      <x:c r="X171" t="str">
        <x:f>IF(W171&gt;=3.55,"Pass","Fail")</x:f>
        <x:v>Pass</x:v>
      </x:c>
      <x:c r="Y171" t="str">
        <x:v>endpoint not visible</x:v>
      </x:c>
      <x:c r="Z171" t="str">
        <x:v>QA note: Clear enough for a learner. The workpiece does not wander and the camera stays on the receptacle face; I would still add a freeze or caption after generation. The issue is subtle visually, but it matters because the clip is supposed to teach the technique. Continuity is useful here, but it cannot replace showing the actual contact point.</x:v>
      </x:c>
      <x:c r="AA171" t="str">
        <x:v>Use sequential context only for continuity, not for adding previous/next steps into the frame.</x:v>
      </x:c>
      <x:c r="AB171" t="str">
        <x:v>Medium</x:v>
      </x:c>
      <x:c r="AC171" t="str"/>
      <x:c r="AD171" t="str">
        <x:v>Planning dataset only; scores are plausible placeholders, not vendor claims.</x:v>
      </x:c>
    </x:row>
    <x:row r="172">
      <x:c r="A172" t="str">
        <x:v>S029-Runway-SEQ</x:v>
      </x:c>
      <x:c r="B172" t="str">
        <x:v>S029</x:v>
      </x:c>
      <x:c r="C172" t="str">
        <x:v>Electrical</x:v>
      </x:c>
      <x:c r="D172" t="str">
        <x:v>cover plate</x:v>
      </x:c>
      <x:c r="E172" t="str">
        <x:v>aligning</x:v>
      </x:c>
      <x:c r="F172" t="n">
        <x:v>2</x:v>
      </x:c>
      <x:c r="G172" t="str">
        <x:v>align a cover plate over a receptacle before tightening</x:v>
      </x:c>
      <x:c r="H172" t="str">
        <x:v>cover plate</x:v>
      </x:c>
      <x:c r="I172" t="str">
        <x:v>receptacle face</x:v>
      </x:c>
      <x:c r="J172" t="str">
        <x:v>Runway Gen-4.5</x:v>
      </x:c>
      <x:c r="K172" t="str">
        <x:v>Sequential Context</x:v>
      </x:c>
      <x:c r="L172" t="str">
        <x:v>Provides previous and next step for continuity without asking for them to appear.</x:v>
      </x:c>
      <x:c r="M172" t="str">
        <x:v>Close-up realistic instructional DIY video: align a cover plate over a receptacle before tightening. Show cover plate working on receptacle face. Hands visible, stable camera, no text overlay, neutral shop lighting. This is the middle clip in a sequence. Previous step has already prepared the work area; next step will verify the result. Keep the same workpiece, camera distance, and hand orientation.</x:v>
      </x:c>
      <x:c r="N172" s="14" t="n">
        <x:v>5</x:v>
      </x:c>
      <x:c r="O172" s="14" t="n">
        <x:v>100292</x:v>
      </x:c>
      <x:c r="P172" t="str">
        <x:v>R-D</x:v>
      </x:c>
      <x:c r="Q172" s="12" t="n">
        <x:v>4</x:v>
      </x:c>
      <x:c r="R172" s="12" t="n">
        <x:v>4.33</x:v>
      </x:c>
      <x:c r="S172" s="12" t="n">
        <x:v>4.06</x:v>
      </x:c>
      <x:c r="T172" s="12" t="n">
        <x:v>3.94</x:v>
      </x:c>
      <x:c r="U172" s="12" t="n">
        <x:v>3.73</x:v>
      </x:c>
      <x:c r="V172" s="12" t="n">
        <x:v>4.04</x:v>
      </x:c>
      <x:c r="W172" s="12" t="n">
        <x:f>ROUND((Q172*0.24)+(R172*0.22)+(S172*0.16)+(T172*0.18)+(U172*0.10)+(V172*0.10),2)</x:f>
        <x:v>4.05</x:v>
      </x:c>
      <x:c r="X172" t="str">
        <x:f>IF(W172&gt;=3.55,"Pass","Fail")</x:f>
        <x:v>Pass</x:v>
      </x:c>
      <x:c r="Y172" t="str">
        <x:v>endpoint not visible</x:v>
      </x:c>
      <x:c r="Z172" t="str">
        <x:v>Human check: Looks plausible at first glance. On a second pass, the receptacle face shifts slightly and the model seems to infer the outcome rather than show the full aligning. The mistake appears late, so a simple thumbnail review would probably miss it. Continuity is useful here, but it cannot replace showing the actual contact point.</x:v>
      </x:c>
      <x:c r="AA172" t="str">
        <x:v>Move safety language earlier in the prompt and remove cinematic camera instructions.</x:v>
      </x:c>
      <x:c r="AB172" t="str">
        <x:v>Medium-High</x:v>
      </x:c>
      <x:c r="AC172" t="str"/>
      <x:c r="AD172" t="str">
        <x:v>Planning dataset only; scores are plausible placeholders, not vendor claims.</x:v>
      </x:c>
    </x:row>
    <x:row r="173">
      <x:c r="A173" t="str">
        <x:v>S029-Kling-SEQ</x:v>
      </x:c>
      <x:c r="B173" t="str">
        <x:v>S029</x:v>
      </x:c>
      <x:c r="C173" t="str">
        <x:v>Electrical</x:v>
      </x:c>
      <x:c r="D173" t="str">
        <x:v>cover plate</x:v>
      </x:c>
      <x:c r="E173" t="str">
        <x:v>aligning</x:v>
      </x:c>
      <x:c r="F173" t="n">
        <x:v>2</x:v>
      </x:c>
      <x:c r="G173" t="str">
        <x:v>align a cover plate over a receptacle before tightening</x:v>
      </x:c>
      <x:c r="H173" t="str">
        <x:v>cover plate</x:v>
      </x:c>
      <x:c r="I173" t="str">
        <x:v>receptacle face</x:v>
      </x:c>
      <x:c r="J173" t="str">
        <x:v>Kling v3.0 (Replicate)</x:v>
      </x:c>
      <x:c r="K173" t="str">
        <x:v>Sequential Context</x:v>
      </x:c>
      <x:c r="L173" t="str">
        <x:v>Provides previous and next step for continuity without asking for them to appear.</x:v>
      </x:c>
      <x:c r="M173" t="str">
        <x:v>Close-up realistic instructional DIY video: align a cover plate over a receptacle before tightening. Show cover plate working on receptacle face. Hands visible, stable camera, no text overlay, neutral shop lighting. This is the middle clip in a sequence. Previous step has already prepared the work area; next step will verify the result. Keep the same workpiece, camera distance, and hand orientation.</x:v>
      </x:c>
      <x:c r="N173" s="14" t="n">
        <x:v>10</x:v>
      </x:c>
      <x:c r="O173" s="14" t="n">
        <x:v>100293</x:v>
      </x:c>
      <x:c r="P173" t="str">
        <x:v>R-C</x:v>
      </x:c>
      <x:c r="Q173" s="12" t="n">
        <x:v>4.04</x:v>
      </x:c>
      <x:c r="R173" s="12" t="n">
        <x:v>4.28</x:v>
      </x:c>
      <x:c r="S173" s="12" t="n">
        <x:v>4.01</x:v>
      </x:c>
      <x:c r="T173" s="12" t="n">
        <x:v>4.16</x:v>
      </x:c>
      <x:c r="U173" s="12" t="n">
        <x:v>3.22</x:v>
      </x:c>
      <x:c r="V173" s="12" t="n">
        <x:v>3.94</x:v>
      </x:c>
      <x:c r="W173" s="12" t="n">
        <x:f>ROUND((Q173*0.24)+(R173*0.22)+(S173*0.16)+(T173*0.18)+(U173*0.10)+(V173*0.10),2)</x:f>
        <x:v>4.02</x:v>
      </x:c>
      <x:c r="X173" t="str">
        <x:f>IF(W173&gt;=3.55,"Pass","Fail")</x:f>
        <x:v>Pass</x:v>
      </x:c>
      <x:c r="Y173" t="str">
        <x:v>none</x:v>
      </x:c>
      <x:c r="Z173" t="str">
        <x:v>QA note: The intention is clear, especially if you already know the step. A novice might miss the key detail because this issue appears right where the action should be most explicit: none. The most important fix is to show the before-and-after state without a cut. Continuity is useful here, but it cannot replace showing the actual contact point.</x:v>
      </x:c>
      <x:c r="AA173" t="str">
        <x:v>Ask for a static close-up and require the cover plate to touch the receptacle face before any motion starts.</x:v>
      </x:c>
      <x:c r="AB173" t="str">
        <x:v>Medium-High</x:v>
      </x:c>
      <x:c r="AC173" t="str"/>
      <x:c r="AD173" t="str">
        <x:v>Simulated pilot row for planning; replace with blinded ratings after generating actual clips.</x:v>
      </x:c>
    </x:row>
    <x:row r="174">
      <x:c r="A174" t="str">
        <x:v>S029-Pika-SEQ</x:v>
      </x:c>
      <x:c r="B174" t="str">
        <x:v>S029</x:v>
      </x:c>
      <x:c r="C174" t="str">
        <x:v>Electrical</x:v>
      </x:c>
      <x:c r="D174" t="str">
        <x:v>cover plate</x:v>
      </x:c>
      <x:c r="E174" t="str">
        <x:v>aligning</x:v>
      </x:c>
      <x:c r="F174" t="n">
        <x:v>2</x:v>
      </x:c>
      <x:c r="G174" t="str">
        <x:v>align a cover plate over a receptacle before tightening</x:v>
      </x:c>
      <x:c r="H174" t="str">
        <x:v>cover plate</x:v>
      </x:c>
      <x:c r="I174" t="str">
        <x:v>receptacle face</x:v>
      </x:c>
      <x:c r="J174" t="str">
        <x:v>Pika 2.2</x:v>
      </x:c>
      <x:c r="K174" t="str">
        <x:v>Sequential Context</x:v>
      </x:c>
      <x:c r="L174" t="str">
        <x:v>Provides previous and next step for continuity without asking for them to appear.</x:v>
      </x:c>
      <x:c r="M174" t="str">
        <x:v>Close-up realistic instructional DIY video: align a cover plate over a receptacle before tightening. Show cover plate working on receptacle face. Hands visible, stable camera, no text overlay, neutral shop lighting. This is the middle clip in a sequence. Previous step has already prepared the work area; next step will verify the result. Keep the same workpiece, camera distance, and hand orientation.</x:v>
      </x:c>
      <x:c r="N174" s="14" t="n">
        <x:v>5</x:v>
      </x:c>
      <x:c r="O174" s="14" t="n">
        <x:v>100294</x:v>
      </x:c>
      <x:c r="P174" t="str">
        <x:v>R-C</x:v>
      </x:c>
      <x:c r="Q174" s="12" t="n">
        <x:v>3.37</x:v>
      </x:c>
      <x:c r="R174" s="12" t="n">
        <x:v>3.63</x:v>
      </x:c>
      <x:c r="S174" s="12" t="n">
        <x:v>3.51</x:v>
      </x:c>
      <x:c r="T174" s="12" t="n">
        <x:v>3.64</x:v>
      </x:c>
      <x:c r="U174" s="12" t="n">
        <x:v>4.06</x:v>
      </x:c>
      <x:c r="V174" s="12" t="n">
        <x:v>4.12</x:v>
      </x:c>
      <x:c r="W174" s="12" t="n">
        <x:f>ROUND((Q174*0.24)+(R174*0.22)+(S174*0.16)+(T174*0.18)+(U174*0.10)+(V174*0.10),2)</x:f>
        <x:v>3.64</x:v>
      </x:c>
      <x:c r="X174" t="str">
        <x:f>IF(W174&gt;=3.55,"Pass","Fail")</x:f>
        <x:v>Pass</x:v>
      </x:c>
      <x:c r="Y174" t="str">
        <x:v>wrong grip on tool</x:v>
      </x:c>
      <x:c r="Z174" t="str">
        <x:v>Rater note: The intention is clear, especially if you already know the step. A novice might miss the key detail because this issue appears right where the action should be most explicit: wrong grip on tool. The issue is subtle visually, but it matters because the clip is supposed to teach the technique. Continuity is useful here, but it cannot replace showing the actual contact point.</x:v>
      </x:c>
      <x:c r="AA174" t="str">
        <x:v>Ask for a static close-up and require the cover plate to touch the receptacle face before any motion starts.</x:v>
      </x:c>
      <x:c r="AB174" t="str">
        <x:v>Medium</x:v>
      </x:c>
      <x:c r="AC174" t="str"/>
      <x:c r="AD174" t="str">
        <x:v>Synthetic benchmark entry; generated clip URL should be filled after API run.</x:v>
      </x:c>
    </x:row>
    <x:row r="175">
      <x:c r="A175" t="str">
        <x:v>S029-Vidu-SEQ</x:v>
      </x:c>
      <x:c r="B175" t="str">
        <x:v>S029</x:v>
      </x:c>
      <x:c r="C175" t="str">
        <x:v>Electrical</x:v>
      </x:c>
      <x:c r="D175" t="str">
        <x:v>cover plate</x:v>
      </x:c>
      <x:c r="E175" t="str">
        <x:v>aligning</x:v>
      </x:c>
      <x:c r="F175" t="n">
        <x:v>2</x:v>
      </x:c>
      <x:c r="G175" t="str">
        <x:v>align a cover plate over a receptacle before tightening</x:v>
      </x:c>
      <x:c r="H175" t="str">
        <x:v>cover plate</x:v>
      </x:c>
      <x:c r="I175" t="str">
        <x:v>receptacle face</x:v>
      </x:c>
      <x:c r="J175" t="str">
        <x:v>Vidu 2.0</x:v>
      </x:c>
      <x:c r="K175" t="str">
        <x:v>Sequential Context</x:v>
      </x:c>
      <x:c r="L175" t="str">
        <x:v>Provides previous and next step for continuity without asking for them to appear.</x:v>
      </x:c>
      <x:c r="M175" t="str">
        <x:v>Close-up realistic instructional DIY video: align a cover plate over a receptacle before tightening. Show cover plate working on receptacle face. Hands visible, stable camera, no text overlay, neutral shop lighting. This is the middle clip in a sequence. Previous step has already prepared the work area; next step will verify the result. Keep the same workpiece, camera distance, and hand orientation.</x:v>
      </x:c>
      <x:c r="N175" s="14" t="n">
        <x:v>5</x:v>
      </x:c>
      <x:c r="O175" s="14" t="n">
        <x:v>100295</x:v>
      </x:c>
      <x:c r="P175" t="str">
        <x:v>R-E</x:v>
      </x:c>
      <x:c r="Q175" s="12" t="n">
        <x:v>3.62</x:v>
      </x:c>
      <x:c r="R175" s="12" t="n">
        <x:v>3.29</x:v>
      </x:c>
      <x:c r="S175" s="12" t="n">
        <x:v>3.38</x:v>
      </x:c>
      <x:c r="T175" s="12" t="n">
        <x:v>3.53</x:v>
      </x:c>
      <x:c r="U175" s="12" t="n">
        <x:v>2.78</x:v>
      </x:c>
      <x:c r="V175" s="12" t="n">
        <x:v>3.34</x:v>
      </x:c>
      <x:c r="W175" s="12" t="n">
        <x:f>ROUND((Q175*0.24)+(R175*0.22)+(S175*0.16)+(T175*0.18)+(U175*0.10)+(V175*0.10),2)</x:f>
        <x:v>3.38</x:v>
      </x:c>
      <x:c r="X175" t="str">
        <x:f>IF(W175&gt;=3.55,"Pass","Fail")</x:f>
        <x:v>Fail</x:v>
      </x:c>
      <x:c r="Y175" t="str">
        <x:v>material looks wrong</x:v>
      </x:c>
      <x:c r="Z175" t="str">
        <x:v>Clip review: The clip looks like generic DIY stock footage rather than this specific step. The main problem is material looks wrong, and the end state is not verifiable. The issue is subtle visually, but it matters because the clip is supposed to teach the technique. Continuity is useful here, but it cannot replace showing the actual contact point.</x:v>
      </x:c>
      <x:c r="AA175" t="str">
        <x:v>Break the action into start, contact, movement, and finish; ban extra tools and hand morphing.</x:v>
      </x:c>
      <x:c r="AB175" t="str">
        <x:v>Low</x:v>
      </x:c>
      <x:c r="AC175" t="str"/>
      <x:c r="AD175" t="str">
        <x:v>Simulated pilot row for planning; replace with blinded ratings after generating actual clips.</x:v>
      </x:c>
    </x:row>
    <x:row r="176">
      <x:c r="A176" t="str">
        <x:v>S030-Veo-CON</x:v>
      </x:c>
      <x:c r="B176" t="str">
        <x:v>S030</x:v>
      </x:c>
      <x:c r="C176" t="str">
        <x:v>Electrical</x:v>
      </x:c>
      <x:c r="D176" t="str">
        <x:v>fixture install</x:v>
      </x:c>
      <x:c r="E176" t="str">
        <x:v>connecting</x:v>
      </x:c>
      <x:c r="F176" t="n">
        <x:v>4</x:v>
      </x:c>
      <x:c r="G176" t="str">
        <x:v>connect a fixture ground wire to a green ground screw</x:v>
      </x:c>
      <x:c r="H176" t="str">
        <x:v>screwdriver</x:v>
      </x:c>
      <x:c r="I176" t="str">
        <x:v>ground wire, green screw</x:v>
      </x:c>
      <x:c r="J176" t="str">
        <x:v>Veo 3.1</x:v>
      </x:c>
      <x:c r="K176" t="str">
        <x:v>Constraint-Rich Negative Prompt</x:v>
      </x:c>
      <x:c r="L176" t="str">
        <x:v>Adds concise no-floating-tools/no-extra-objects/no-morphing constraints.</x:v>
      </x:c>
      <x:c r="M176" t="str">
        <x:v>Close-up realistic instructional DIY video: connect a fixture ground wire to a green ground screw. Show screwdriver working on ground wire, green screw. Hands visible, stable camera, no text overlay, neutral shop lighting. Constraints: no floating tools, no extra tools, no morphing hands, no reversed motion, no impossible deformation, no dramatic camera spin. Keep the full action legible.</x:v>
      </x:c>
      <x:c r="N176" s="14" t="n">
        <x:v>8</x:v>
      </x:c>
      <x:c r="O176" s="14" t="n">
        <x:v>100300</x:v>
      </x:c>
      <x:c r="P176" t="str">
        <x:v>R-B</x:v>
      </x:c>
      <x:c r="Q176" s="12" t="n">
        <x:v>4.33</x:v>
      </x:c>
      <x:c r="R176" s="12" t="n">
        <x:v>4.2</x:v>
      </x:c>
      <x:c r="S176" s="12" t="n">
        <x:v>4.04</x:v>
      </x:c>
      <x:c r="T176" s="12" t="n">
        <x:v>4.1</x:v>
      </x:c>
      <x:c r="U176" s="12" t="n">
        <x:v>3.48</x:v>
      </x:c>
      <x:c r="V176" s="12" t="n">
        <x:v>4.32</x:v>
      </x:c>
      <x:c r="W176" s="12" t="n">
        <x:f>ROUND((Q176*0.24)+(R176*0.22)+(S176*0.16)+(T176*0.18)+(U176*0.10)+(V176*0.10),2)</x:f>
        <x:v>4.13</x:v>
      </x:c>
      <x:c r="X176" t="str">
        <x:f>IF(W176&gt;=3.55,"Pass","Fail")</x:f>
        <x:v>Pass</x:v>
      </x:c>
      <x:c r="Y176" t="str">
        <x:v>contact point hidden</x:v>
      </x:c>
      <x:c r="Z176" t="str">
        <x:v>Review note: Usable, but I would not show it without review. The screwdriver is recognizable, yet the exact contact point is hard to see when the hand crosses the frame. This would be safer as a reference-aided run than a text-only run. The negative constraints help, but they do not fully solve the mechanics.</x:v>
      </x:c>
      <x:c r="AA176" t="str">
        <x:v>Move safety language earlier in the prompt and remove cinematic camera instructions.</x:v>
      </x:c>
      <x:c r="AB176" t="str">
        <x:v>Medium-High</x:v>
      </x:c>
      <x:c r="AC176" t="str"/>
      <x:c r="AD176" t="str">
        <x:v>Synthetic benchmark entry; generated clip URL should be filled after API run.</x:v>
      </x:c>
    </x:row>
    <x:row r="177">
      <x:c r="A177" t="str">
        <x:v>S030-Sora-CON</x:v>
      </x:c>
      <x:c r="B177" t="str">
        <x:v>S030</x:v>
      </x:c>
      <x:c r="C177" t="str">
        <x:v>Electrical</x:v>
      </x:c>
      <x:c r="D177" t="str">
        <x:v>fixture install</x:v>
      </x:c>
      <x:c r="E177" t="str">
        <x:v>connecting</x:v>
      </x:c>
      <x:c r="F177" t="n">
        <x:v>4</x:v>
      </x:c>
      <x:c r="G177" t="str">
        <x:v>connect a fixture ground wire to a green ground screw</x:v>
      </x:c>
      <x:c r="H177" t="str">
        <x:v>screwdriver</x:v>
      </x:c>
      <x:c r="I177" t="str">
        <x:v>ground wire, green screw</x:v>
      </x:c>
      <x:c r="J177" t="str">
        <x:v>Sora 2 Pro</x:v>
      </x:c>
      <x:c r="K177" t="str">
        <x:v>Constraint-Rich Negative Prompt</x:v>
      </x:c>
      <x:c r="L177" t="str">
        <x:v>Adds concise no-floating-tools/no-extra-objects/no-morphing constraints.</x:v>
      </x:c>
      <x:c r="M177" t="str">
        <x:v>Close-up realistic instructional DIY video: connect a fixture ground wire to a green ground screw. Show screwdriver working on ground wire, green screw. Hands visible, stable camera, no text overlay, neutral shop lighting. Constraints: no floating tools, no extra tools, no morphing hands, no reversed motion, no impossible deformation, no dramatic camera spin. Keep the full action legible.</x:v>
      </x:c>
      <x:c r="N177" s="14" t="n">
        <x:v>8</x:v>
      </x:c>
      <x:c r="O177" s="14" t="n">
        <x:v>100301</x:v>
      </x:c>
      <x:c r="P177" t="str">
        <x:v>R-A</x:v>
      </x:c>
      <x:c r="Q177" s="12" t="n">
        <x:v>3.85</x:v>
      </x:c>
      <x:c r="R177" s="12" t="n">
        <x:v>4</x:v>
      </x:c>
      <x:c r="S177" s="12" t="n">
        <x:v>3.86</x:v>
      </x:c>
      <x:c r="T177" s="12" t="n">
        <x:v>3.79</x:v>
      </x:c>
      <x:c r="U177" s="12" t="n">
        <x:v>4.4</x:v>
      </x:c>
      <x:c r="V177" s="12" t="n">
        <x:v>4.27</x:v>
      </x:c>
      <x:c r="W177" s="12" t="n">
        <x:f>ROUND((Q177*0.24)+(R177*0.22)+(S177*0.16)+(T177*0.18)+(U177*0.10)+(V177*0.10),2)</x:f>
        <x:v>3.97</x:v>
      </x:c>
      <x:c r="X177" t="str">
        <x:f>IF(W177&gt;=3.55,"Pass","Fail")</x:f>
        <x:v>Pass</x:v>
      </x:c>
      <x:c r="Y177" t="str">
        <x:v>endpoint not visible</x:v>
      </x:c>
      <x:c r="Z177" t="str">
        <x:v>Human check: Looks plausible at first glance. On a second pass, the ground wire, green screw shifts slightly and the model seems to infer the outcome rather than show the full connecting. This reads better as a teaser than as an instructional clip. The negative constraints help, but they do not fully solve the mechanics.</x:v>
      </x:c>
      <x:c r="AA177" t="str">
        <x:v>Specify the exact contact point and do not allow the hand to cover it.</x:v>
      </x:c>
      <x:c r="AB177" t="str">
        <x:v>High</x:v>
      </x:c>
      <x:c r="AC177" t="str"/>
      <x:c r="AD177" t="str">
        <x:v>Synthetic benchmark entry; generated clip URL should be filled after API run.</x:v>
      </x:c>
    </x:row>
    <x:row r="178">
      <x:c r="A178" t="str">
        <x:v>S030-Runway-CON</x:v>
      </x:c>
      <x:c r="B178" t="str">
        <x:v>S030</x:v>
      </x:c>
      <x:c r="C178" t="str">
        <x:v>Electrical</x:v>
      </x:c>
      <x:c r="D178" t="str">
        <x:v>fixture install</x:v>
      </x:c>
      <x:c r="E178" t="str">
        <x:v>connecting</x:v>
      </x:c>
      <x:c r="F178" t="n">
        <x:v>4</x:v>
      </x:c>
      <x:c r="G178" t="str">
        <x:v>connect a fixture ground wire to a green ground screw</x:v>
      </x:c>
      <x:c r="H178" t="str">
        <x:v>screwdriver</x:v>
      </x:c>
      <x:c r="I178" t="str">
        <x:v>ground wire, green screw</x:v>
      </x:c>
      <x:c r="J178" t="str">
        <x:v>Runway Gen-4.5</x:v>
      </x:c>
      <x:c r="K178" t="str">
        <x:v>Constraint-Rich Negative Prompt</x:v>
      </x:c>
      <x:c r="L178" t="str">
        <x:v>Adds concise no-floating-tools/no-extra-objects/no-morphing constraints.</x:v>
      </x:c>
      <x:c r="M178" t="str">
        <x:v>Close-up realistic instructional DIY video: connect a fixture ground wire to a green ground screw. Show screwdriver working on ground wire, green screw. Hands visible, stable camera, no text overlay, neutral shop lighting. Constraints: no floating tools, no extra tools, no morphing hands, no reversed motion, no impossible deformation, no dramatic camera spin. Keep the full action legible.</x:v>
      </x:c>
      <x:c r="N178" s="14" t="n">
        <x:v>5</x:v>
      </x:c>
      <x:c r="O178" s="14" t="n">
        <x:v>100302</x:v>
      </x:c>
      <x:c r="P178" t="str">
        <x:v>R-C</x:v>
      </x:c>
      <x:c r="Q178" s="12" t="n">
        <x:v>3.07</x:v>
      </x:c>
      <x:c r="R178" s="12" t="n">
        <x:v>3.5</x:v>
      </x:c>
      <x:c r="S178" s="12" t="n">
        <x:v>3.91</x:v>
      </x:c>
      <x:c r="T178" s="12" t="n">
        <x:v>3.69</x:v>
      </x:c>
      <x:c r="U178" s="12" t="n">
        <x:v>3.73</x:v>
      </x:c>
      <x:c r="V178" s="12" t="n">
        <x:v>3.69</x:v>
      </x:c>
      <x:c r="W178" s="12" t="n">
        <x:f>ROUND((Q178*0.24)+(R178*0.22)+(S178*0.16)+(T178*0.18)+(U178*0.10)+(V178*0.10),2)</x:f>
        <x:v>3.54</x:v>
      </x:c>
      <x:c r="X178" t="str">
        <x:f>IF(W178&gt;=3.55,"Pass","Fail")</x:f>
        <x:v>Fail</x:v>
      </x:c>
      <x:c r="Y178" t="str">
        <x:v>wrong grip on tool</x:v>
      </x:c>
      <x:c r="Z178" t="str">
        <x:v>Clip review: The generated clip loses the procedure. I would re-run with a reference frame and a stricter Action-Object-Tool prompt. This reads better as a teaser than as an instructional clip. The negative constraints help, but they do not fully solve the mechanics.</x:v>
      </x:c>
      <x:c r="AA178" t="str">
        <x:v>Use a reference image for the screwdriver and specify its grip/orientation in plain language.</x:v>
      </x:c>
      <x:c r="AB178" t="str">
        <x:v>High</x:v>
      </x:c>
      <x:c r="AC178" t="str"/>
      <x:c r="AD178" t="str">
        <x:v>Planning dataset only; scores are plausible placeholders, not vendor claims.</x:v>
      </x:c>
    </x:row>
    <x:row r="179">
      <x:c r="A179" t="str">
        <x:v>S030-Kling-CON</x:v>
      </x:c>
      <x:c r="B179" t="str">
        <x:v>S030</x:v>
      </x:c>
      <x:c r="C179" t="str">
        <x:v>Electrical</x:v>
      </x:c>
      <x:c r="D179" t="str">
        <x:v>fixture install</x:v>
      </x:c>
      <x:c r="E179" t="str">
        <x:v>connecting</x:v>
      </x:c>
      <x:c r="F179" t="n">
        <x:v>4</x:v>
      </x:c>
      <x:c r="G179" t="str">
        <x:v>connect a fixture ground wire to a green ground screw</x:v>
      </x:c>
      <x:c r="H179" t="str">
        <x:v>screwdriver</x:v>
      </x:c>
      <x:c r="I179" t="str">
        <x:v>ground wire, green screw</x:v>
      </x:c>
      <x:c r="J179" t="str">
        <x:v>Kling v3.0 (Replicate)</x:v>
      </x:c>
      <x:c r="K179" t="str">
        <x:v>Constraint-Rich Negative Prompt</x:v>
      </x:c>
      <x:c r="L179" t="str">
        <x:v>Adds concise no-floating-tools/no-extra-objects/no-morphing constraints.</x:v>
      </x:c>
      <x:c r="M179" t="str">
        <x:v>Close-up realistic instructional DIY video: connect a fixture ground wire to a green ground screw. Show screwdriver working on ground wire, green screw. Hands visible, stable camera, no text overlay, neutral shop lighting. Constraints: no floating tools, no extra tools, no morphing hands, no reversed motion, no impossible deformation, no dramatic camera spin. Keep the full action legible.</x:v>
      </x:c>
      <x:c r="N179" s="14" t="n">
        <x:v>10</x:v>
      </x:c>
      <x:c r="O179" s="14" t="n">
        <x:v>100303</x:v>
      </x:c>
      <x:c r="P179" t="str">
        <x:v>R-A</x:v>
      </x:c>
      <x:c r="Q179" s="12" t="n">
        <x:v>3.76</x:v>
      </x:c>
      <x:c r="R179" s="12" t="n">
        <x:v>3.58</x:v>
      </x:c>
      <x:c r="S179" s="12" t="n">
        <x:v>3.61</x:v>
      </x:c>
      <x:c r="T179" s="12" t="n">
        <x:v>3.42</x:v>
      </x:c>
      <x:c r="U179" s="12" t="n">
        <x:v>3.64</x:v>
      </x:c>
      <x:c r="V179" s="12" t="n">
        <x:v>3.6</x:v>
      </x:c>
      <x:c r="W179" s="12" t="n">
        <x:f>ROUND((Q179*0.24)+(R179*0.22)+(S179*0.16)+(T179*0.18)+(U179*0.10)+(V179*0.10),2)</x:f>
        <x:v>3.61</x:v>
      </x:c>
      <x:c r="X179" t="str">
        <x:f>IF(W179&gt;=3.55,"Pass","Fail")</x:f>
        <x:v>Pass</x:v>
      </x:c>
      <x:c r="Y179" t="str">
        <x:v>action starts too late</x:v>
      </x:c>
      <x:c r="Z179" t="str">
        <x:v>Human check: Looks plausible at first glance. On a second pass, the ground wire, green screw shifts slightly and the model seems to infer the outcome rather than show the full connecting. The next prompt should slow the final second instead of adding more scene detail. The negative constraints help, but they do not fully solve the mechanics.</x:v>
      </x:c>
      <x:c r="AA179" t="str">
        <x:v>Move safety language earlier in the prompt and remove cinematic camera instructions.</x:v>
      </x:c>
      <x:c r="AB179" t="str">
        <x:v>Medium</x:v>
      </x:c>
      <x:c r="AC179" t="str"/>
      <x:c r="AD179" t="str">
        <x:v>Simulated pilot row for planning; replace with blinded ratings after generating actual clips.</x:v>
      </x:c>
    </x:row>
    <x:row r="180">
      <x:c r="A180" t="str">
        <x:v>S030-Pika-CON</x:v>
      </x:c>
      <x:c r="B180" t="str">
        <x:v>S030</x:v>
      </x:c>
      <x:c r="C180" t="str">
        <x:v>Electrical</x:v>
      </x:c>
      <x:c r="D180" t="str">
        <x:v>fixture install</x:v>
      </x:c>
      <x:c r="E180" t="str">
        <x:v>connecting</x:v>
      </x:c>
      <x:c r="F180" t="n">
        <x:v>4</x:v>
      </x:c>
      <x:c r="G180" t="str">
        <x:v>connect a fixture ground wire to a green ground screw</x:v>
      </x:c>
      <x:c r="H180" t="str">
        <x:v>screwdriver</x:v>
      </x:c>
      <x:c r="I180" t="str">
        <x:v>ground wire, green screw</x:v>
      </x:c>
      <x:c r="J180" t="str">
        <x:v>Pika 2.2</x:v>
      </x:c>
      <x:c r="K180" t="str">
        <x:v>Constraint-Rich Negative Prompt</x:v>
      </x:c>
      <x:c r="L180" t="str">
        <x:v>Adds concise no-floating-tools/no-extra-objects/no-morphing constraints.</x:v>
      </x:c>
      <x:c r="M180" t="str">
        <x:v>Close-up realistic instructional DIY video: connect a fixture ground wire to a green ground screw. Show screwdriver working on ground wire, green screw. Hands visible, stable camera, no text overlay, neutral shop lighting. Constraints: no floating tools, no extra tools, no morphing hands, no reversed motion, no impossible deformation, no dramatic camera spin. Keep the full action legible.</x:v>
      </x:c>
      <x:c r="N180" s="14" t="n">
        <x:v>5</x:v>
      </x:c>
      <x:c r="O180" s="14" t="n">
        <x:v>100304</x:v>
      </x:c>
      <x:c r="P180" t="str">
        <x:v>R-C</x:v>
      </x:c>
      <x:c r="Q180" s="12" t="n">
        <x:v>3.47</x:v>
      </x:c>
      <x:c r="R180" s="12" t="n">
        <x:v>3.22</x:v>
      </x:c>
      <x:c r="S180" s="12" t="n">
        <x:v>3.62</x:v>
      </x:c>
      <x:c r="T180" s="12" t="n">
        <x:v>3.55</x:v>
      </x:c>
      <x:c r="U180" s="12" t="n">
        <x:v>3.33</x:v>
      </x:c>
      <x:c r="V180" s="12" t="n">
        <x:v>3.01</x:v>
      </x:c>
      <x:c r="W180" s="12" t="n">
        <x:f>ROUND((Q180*0.24)+(R180*0.22)+(S180*0.16)+(T180*0.18)+(U180*0.10)+(V180*0.10),2)</x:f>
        <x:v>3.39</x:v>
      </x:c>
      <x:c r="X180" t="str">
        <x:f>IF(W180&gt;=3.55,"Pass","Fail")</x:f>
        <x:v>Fail</x:v>
      </x:c>
      <x:c r="Y180" t="str">
        <x:v>material looks wrong</x:v>
      </x:c>
      <x:c r="Z180" t="str">
        <x:v>Rater note: The generated clip loses the procedure. I would re-run with a reference frame and a stricter Action-Object-Tool prompt. The prompt should prioritize hand path over cinematic lighting. The negative constraints help, but they do not fully solve the mechanics.</x:v>
      </x:c>
      <x:c r="AA180" t="str">
        <x:v>Break the action into start, contact, movement, and finish; ban extra tools and hand morphing.</x:v>
      </x:c>
      <x:c r="AB180" t="str">
        <x:v>Medium-High</x:v>
      </x:c>
      <x:c r="AC180" t="str"/>
      <x:c r="AD180" t="str">
        <x:v>Synthetic benchmark entry; generated clip URL should be filled after API run.</x:v>
      </x:c>
    </x:row>
    <x:row r="181">
      <x:c r="A181" t="str">
        <x:v>S030-Vidu-CON</x:v>
      </x:c>
      <x:c r="B181" t="str">
        <x:v>S030</x:v>
      </x:c>
      <x:c r="C181" t="str">
        <x:v>Electrical</x:v>
      </x:c>
      <x:c r="D181" t="str">
        <x:v>fixture install</x:v>
      </x:c>
      <x:c r="E181" t="str">
        <x:v>connecting</x:v>
      </x:c>
      <x:c r="F181" t="n">
        <x:v>4</x:v>
      </x:c>
      <x:c r="G181" t="str">
        <x:v>connect a fixture ground wire to a green ground screw</x:v>
      </x:c>
      <x:c r="H181" t="str">
        <x:v>screwdriver</x:v>
      </x:c>
      <x:c r="I181" t="str">
        <x:v>ground wire, green screw</x:v>
      </x:c>
      <x:c r="J181" t="str">
        <x:v>Vidu 2.0</x:v>
      </x:c>
      <x:c r="K181" t="str">
        <x:v>Constraint-Rich Negative Prompt</x:v>
      </x:c>
      <x:c r="L181" t="str">
        <x:v>Adds concise no-floating-tools/no-extra-objects/no-morphing constraints.</x:v>
      </x:c>
      <x:c r="M181" t="str">
        <x:v>Close-up realistic instructional DIY video: connect a fixture ground wire to a green ground screw. Show screwdriver working on ground wire, green screw. Hands visible, stable camera, no text overlay, neutral shop lighting. Constraints: no floating tools, no extra tools, no morphing hands, no reversed motion, no impossible deformation, no dramatic camera spin. Keep the full action legible.</x:v>
      </x:c>
      <x:c r="N181" s="14" t="n">
        <x:v>5</x:v>
      </x:c>
      <x:c r="O181" s="14" t="n">
        <x:v>100305</x:v>
      </x:c>
      <x:c r="P181" t="str">
        <x:v>R-D</x:v>
      </x:c>
      <x:c r="Q181" s="12" t="n">
        <x:v>2.95</x:v>
      </x:c>
      <x:c r="R181" s="12" t="n">
        <x:v>3.59</x:v>
      </x:c>
      <x:c r="S181" s="12" t="n">
        <x:v>2.94</x:v>
      </x:c>
      <x:c r="T181" s="12" t="n">
        <x:v>2.77</x:v>
      </x:c>
      <x:c r="U181" s="12" t="n">
        <x:v>3.42</x:v>
      </x:c>
      <x:c r="V181" s="12" t="n">
        <x:v>3.34</x:v>
      </x:c>
      <x:c r="W181" s="12" t="n">
        <x:f>ROUND((Q181*0.24)+(R181*0.22)+(S181*0.16)+(T181*0.18)+(U181*0.10)+(V181*0.10),2)</x:f>
        <x:v>3.14</x:v>
      </x:c>
      <x:c r="X181" t="str">
        <x:f>IF(W181&gt;=3.55,"Pass","Fail")</x:f>
        <x:v>Fail</x:v>
      </x:c>
      <x:c r="Y181" t="str">
        <x:v>missing contact point</x:v>
      </x:c>
      <x:c r="Z181" t="str">
        <x:v>Rater note: Too much is being implied. The screwdriver and ground wire, green screw are in the scene, but the motion does not demonstrate the actual repair step. The issue is subtle visually, but it matters because the clip is supposed to teach the technique. The negative constraints help, but they do not fully solve the mechanics.</x:v>
      </x:c>
      <x:c r="AA181" t="str">
        <x:v>Ask for a static close-up and require the screwdriver to touch the ground wire, green screw before any motion starts.</x:v>
      </x:c>
      <x:c r="AB181" t="str">
        <x:v>Medium-High</x:v>
      </x:c>
      <x:c r="AC181" t="str"/>
      <x:c r="AD181" t="str">
        <x:v>Planning dataset only; scores are plausible placeholders, not vendor claims.</x:v>
      </x:c>
    </x:row>
    <x:row r="182">
      <x:c r="A182" t="str">
        <x:v>S031-Veo-DIR</x:v>
      </x:c>
      <x:c r="B182" t="str">
        <x:v>S031</x:v>
      </x:c>
      <x:c r="C182" t="str">
        <x:v>Electrical</x:v>
      </x:c>
      <x:c r="D182" t="str">
        <x:v>cable management</x:v>
      </x:c>
      <x:c r="E182" t="str">
        <x:v>stapling</x:v>
      </x:c>
      <x:c r="F182" t="n">
        <x:v>4</x:v>
      </x:c>
      <x:c r="G182" t="str">
        <x:v>secure NM cable with a staple without crushing the jacket</x:v>
      </x:c>
      <x:c r="H182" t="str">
        <x:v>cable staple, hammer</x:v>
      </x:c>
      <x:c r="I182" t="str">
        <x:v>NM cable, wood stud</x:v>
      </x:c>
      <x:c r="J182" t="str">
        <x:v>Veo 3.1</x:v>
      </x:c>
      <x:c r="K182" t="str">
        <x:v>Direct Natural Language</x:v>
      </x:c>
      <x:c r="L182" t="str">
        <x:v>Baseline wording only; no explicit decomposition.</x:v>
      </x:c>
      <x:c r="M182" t="str">
        <x:v>Close-up realistic instructional DIY video: secure NM cable with a staple without crushing the jacket. Show cable staple, hammer working on NM cable, wood stud. Hands visible, stable camera, no text overlay, neutral shop lighting.</x:v>
      </x:c>
      <x:c r="N182" s="14" t="n">
        <x:v>8</x:v>
      </x:c>
      <x:c r="O182" s="14" t="n">
        <x:v>100310</x:v>
      </x:c>
      <x:c r="P182" t="str">
        <x:v>R-C</x:v>
      </x:c>
      <x:c r="Q182" s="12" t="n">
        <x:v>3.82</x:v>
      </x:c>
      <x:c r="R182" s="12" t="n">
        <x:v>4.04</x:v>
      </x:c>
      <x:c r="S182" s="12" t="n">
        <x:v>4.02</x:v>
      </x:c>
      <x:c r="T182" s="12" t="n">
        <x:v>3.96</x:v>
      </x:c>
      <x:c r="U182" s="12" t="n">
        <x:v>3.8</x:v>
      </x:c>
      <x:c r="V182" s="12" t="n">
        <x:v>3.88</x:v>
      </x:c>
      <x:c r="W182" s="12" t="n">
        <x:f>ROUND((Q182*0.24)+(R182*0.22)+(S182*0.16)+(T182*0.18)+(U182*0.10)+(V182*0.10),2)</x:f>
        <x:v>3.93</x:v>
      </x:c>
      <x:c r="X182" t="str">
        <x:f>IF(W182&gt;=3.55,"Pass","Fail")</x:f>
        <x:v>Pass</x:v>
      </x:c>
      <x:c r="Y182" t="str">
        <x:v>tool pose a little soft</x:v>
      </x:c>
      <x:c r="Z182" t="str">
        <x:v>Review note: The clip has the right ingredients but not quite the right mechanics. It needs a tighter prompt about grip, contact, and the end position. The next prompt should slow the final second instead of adding more scene detail. For this electrical example, the main judgment is still whether the viewer can copy the motion.</x:v>
      </x:c>
      <x:c r="AA182" t="str">
        <x:v>Add a one-sentence end-state requirement: viewer must see the completed stapling result for one full second.</x:v>
      </x:c>
      <x:c r="AB182" t="str">
        <x:v>Medium-High</x:v>
      </x:c>
      <x:c r="AC182" t="str"/>
      <x:c r="AD182" t="str">
        <x:v>Simulated pilot row for planning; replace with blinded ratings after generating actual clips.</x:v>
      </x:c>
    </x:row>
    <x:row r="183">
      <x:c r="A183" t="str">
        <x:v>S031-Sora-DIR</x:v>
      </x:c>
      <x:c r="B183" t="str">
        <x:v>S031</x:v>
      </x:c>
      <x:c r="C183" t="str">
        <x:v>Electrical</x:v>
      </x:c>
      <x:c r="D183" t="str">
        <x:v>cable management</x:v>
      </x:c>
      <x:c r="E183" t="str">
        <x:v>stapling</x:v>
      </x:c>
      <x:c r="F183" t="n">
        <x:v>4</x:v>
      </x:c>
      <x:c r="G183" t="str">
        <x:v>secure NM cable with a staple without crushing the jacket</x:v>
      </x:c>
      <x:c r="H183" t="str">
        <x:v>cable staple, hammer</x:v>
      </x:c>
      <x:c r="I183" t="str">
        <x:v>NM cable, wood stud</x:v>
      </x:c>
      <x:c r="J183" t="str">
        <x:v>Sora 2 Pro</x:v>
      </x:c>
      <x:c r="K183" t="str">
        <x:v>Direct Natural Language</x:v>
      </x:c>
      <x:c r="L183" t="str">
        <x:v>Baseline wording only; no explicit decomposition.</x:v>
      </x:c>
      <x:c r="M183" t="str">
        <x:v>Close-up realistic instructional DIY video: secure NM cable with a staple without crushing the jacket. Show cable staple, hammer working on NM cable, wood stud. Hands visible, stable camera, no text overlay, neutral shop lighting.</x:v>
      </x:c>
      <x:c r="N183" s="14" t="n">
        <x:v>8</x:v>
      </x:c>
      <x:c r="O183" s="14" t="n">
        <x:v>100311</x:v>
      </x:c>
      <x:c r="P183" t="str">
        <x:v>R-D</x:v>
      </x:c>
      <x:c r="Q183" s="12" t="n">
        <x:v>3.81</x:v>
      </x:c>
      <x:c r="R183" s="12" t="n">
        <x:v>3.4</x:v>
      </x:c>
      <x:c r="S183" s="12" t="n">
        <x:v>3.52</x:v>
      </x:c>
      <x:c r="T183" s="12" t="n">
        <x:v>4.29</x:v>
      </x:c>
      <x:c r="U183" s="12" t="n">
        <x:v>3.36</x:v>
      </x:c>
      <x:c r="V183" s="12" t="n">
        <x:v>4.02</x:v>
      </x:c>
      <x:c r="W183" s="12" t="n">
        <x:f>ROUND((Q183*0.24)+(R183*0.22)+(S183*0.16)+(T183*0.18)+(U183*0.10)+(V183*0.10),2)</x:f>
        <x:v>3.74</x:v>
      </x:c>
      <x:c r="X183" t="str">
        <x:f>IF(W183&gt;=3.55,"Pass","Fail")</x:f>
        <x:v>Pass</x:v>
      </x:c>
      <x:c r="Y183" t="str">
        <x:v>material looks wrong</x:v>
      </x:c>
      <x:c r="Z183" t="str">
        <x:v>Clip review: The intention is clear, especially if you already know the step. A novice might miss the key detail because this issue appears right where the action should be most explicit: material looks wrong. This would be safer as a reference-aided run than a text-only run. The baseline prompt is likely under-specifying the tool path.</x:v>
      </x:c>
      <x:c r="AA183" t="str">
        <x:v>Break the action into start, contact, movement, and finish; ban extra tools and hand morphing.</x:v>
      </x:c>
      <x:c r="AB183" t="str">
        <x:v>High</x:v>
      </x:c>
      <x:c r="AC183" t="str"/>
      <x:c r="AD183" t="str">
        <x:v>Synthetic benchmark entry; generated clip URL should be filled after API run.</x:v>
      </x:c>
    </x:row>
    <x:row r="184">
      <x:c r="A184" t="str">
        <x:v>S031-Runway-DIR</x:v>
      </x:c>
      <x:c r="B184" t="str">
        <x:v>S031</x:v>
      </x:c>
      <x:c r="C184" t="str">
        <x:v>Electrical</x:v>
      </x:c>
      <x:c r="D184" t="str">
        <x:v>cable management</x:v>
      </x:c>
      <x:c r="E184" t="str">
        <x:v>stapling</x:v>
      </x:c>
      <x:c r="F184" t="n">
        <x:v>4</x:v>
      </x:c>
      <x:c r="G184" t="str">
        <x:v>secure NM cable with a staple without crushing the jacket</x:v>
      </x:c>
      <x:c r="H184" t="str">
        <x:v>cable staple, hammer</x:v>
      </x:c>
      <x:c r="I184" t="str">
        <x:v>NM cable, wood stud</x:v>
      </x:c>
      <x:c r="J184" t="str">
        <x:v>Runway Gen-4.5</x:v>
      </x:c>
      <x:c r="K184" t="str">
        <x:v>Direct Natural Language</x:v>
      </x:c>
      <x:c r="L184" t="str">
        <x:v>Baseline wording only; no explicit decomposition.</x:v>
      </x:c>
      <x:c r="M184" t="str">
        <x:v>Close-up realistic instructional DIY video: secure NM cable with a staple without crushing the jacket. Show cable staple, hammer working on NM cable, wood stud. Hands visible, stable camera, no text overlay, neutral shop lighting.</x:v>
      </x:c>
      <x:c r="N184" s="14" t="n">
        <x:v>5</x:v>
      </x:c>
      <x:c r="O184" s="14" t="n">
        <x:v>100312</x:v>
      </x:c>
      <x:c r="P184" t="str">
        <x:v>R-D</x:v>
      </x:c>
      <x:c r="Q184" s="12" t="n">
        <x:v>2.89</x:v>
      </x:c>
      <x:c r="R184" s="12" t="n">
        <x:v>3.71</x:v>
      </x:c>
      <x:c r="S184" s="12" t="n">
        <x:v>3.33</x:v>
      </x:c>
      <x:c r="T184" s="12" t="n">
        <x:v>3.8</x:v>
      </x:c>
      <x:c r="U184" s="12" t="n">
        <x:v>3.27</x:v>
      </x:c>
      <x:c r="V184" s="12" t="n">
        <x:v>3.26</x:v>
      </x:c>
      <x:c r="W184" s="12" t="n">
        <x:f>ROUND((Q184*0.24)+(R184*0.22)+(S184*0.16)+(T184*0.18)+(U184*0.10)+(V184*0.10),2)</x:f>
        <x:v>3.38</x:v>
      </x:c>
      <x:c r="X184" t="str">
        <x:f>IF(W184&gt;=3.55,"Pass","Fail")</x:f>
        <x:v>Fail</x:v>
      </x:c>
      <x:c r="Y184" t="str">
        <x:v>object morphs</x:v>
      </x:c>
      <x:c r="Z184" t="str">
        <x:v>Review note: A reviewer would likely reject this. It may be visually attractive, but the tool/object relationship breaks during the important moment. The most important fix is to show the before-and-after state without a cut. The baseline prompt is likely under-specifying the tool path.</x:v>
      </x:c>
      <x:c r="AA184" t="str">
        <x:v>Break the action into start, contact, movement, and finish; ban extra tools and hand morphing.</x:v>
      </x:c>
      <x:c r="AB184" t="str">
        <x:v>Low</x:v>
      </x:c>
      <x:c r="AC184" t="str"/>
      <x:c r="AD184" t="str">
        <x:v>Synthetic benchmark entry; generated clip URL should be filled after API run.</x:v>
      </x:c>
    </x:row>
    <x:row r="185">
      <x:c r="A185" t="str">
        <x:v>S031-Kling-DIR</x:v>
      </x:c>
      <x:c r="B185" t="str">
        <x:v>S031</x:v>
      </x:c>
      <x:c r="C185" t="str">
        <x:v>Electrical</x:v>
      </x:c>
      <x:c r="D185" t="str">
        <x:v>cable management</x:v>
      </x:c>
      <x:c r="E185" t="str">
        <x:v>stapling</x:v>
      </x:c>
      <x:c r="F185" t="n">
        <x:v>4</x:v>
      </x:c>
      <x:c r="G185" t="str">
        <x:v>secure NM cable with a staple without crushing the jacket</x:v>
      </x:c>
      <x:c r="H185" t="str">
        <x:v>cable staple, hammer</x:v>
      </x:c>
      <x:c r="I185" t="str">
        <x:v>NM cable, wood stud</x:v>
      </x:c>
      <x:c r="J185" t="str">
        <x:v>Kling v3.0 (Replicate)</x:v>
      </x:c>
      <x:c r="K185" t="str">
        <x:v>Direct Natural Language</x:v>
      </x:c>
      <x:c r="L185" t="str">
        <x:v>Baseline wording only; no explicit decomposition.</x:v>
      </x:c>
      <x:c r="M185" t="str">
        <x:v>Close-up realistic instructional DIY video: secure NM cable with a staple without crushing the jacket. Show cable staple, hammer working on NM cable, wood stud. Hands visible, stable camera, no text overlay, neutral shop lighting.</x:v>
      </x:c>
      <x:c r="N185" s="14" t="n">
        <x:v>10</x:v>
      </x:c>
      <x:c r="O185" s="14" t="n">
        <x:v>100313</x:v>
      </x:c>
      <x:c r="P185" t="str">
        <x:v>R-B</x:v>
      </x:c>
      <x:c r="Q185" s="12" t="n">
        <x:v>3.4</x:v>
      </x:c>
      <x:c r="R185" s="12" t="n">
        <x:v>3.88</x:v>
      </x:c>
      <x:c r="S185" s="12" t="n">
        <x:v>3.52</x:v>
      </x:c>
      <x:c r="T185" s="12" t="n">
        <x:v>3.31</x:v>
      </x:c>
      <x:c r="U185" s="12" t="n">
        <x:v>3.65</x:v>
      </x:c>
      <x:c r="V185" s="12" t="n">
        <x:v>4.07</x:v>
      </x:c>
      <x:c r="W185" s="12" t="n">
        <x:f>ROUND((Q185*0.24)+(R185*0.22)+(S185*0.16)+(T185*0.18)+(U185*0.10)+(V185*0.10),2)</x:f>
        <x:v>3.6</x:v>
      </x:c>
      <x:c r="X185" t="str">
        <x:f>IF(W185&gt;=3.55,"Pass","Fail")</x:f>
        <x:v>Pass</x:v>
      </x:c>
      <x:c r="Y185" t="str">
        <x:v>camera blocks work</x:v>
      </x:c>
      <x:c r="Z185" t="str">
        <x:v>Rater note: The intention is clear, especially if you already know the step. A novice might miss the key detail because this issue appears right where the action should be most explicit: camera blocks work. I marked it down for the key moment rather than the opening setup. The baseline prompt is likely under-specifying the tool path.</x:v>
      </x:c>
      <x:c r="AA185" t="str">
        <x:v>Break the action into start, contact, movement, and finish; ban extra tools and hand morphing.</x:v>
      </x:c>
      <x:c r="AB185" t="str">
        <x:v>High</x:v>
      </x:c>
      <x:c r="AC185" t="str"/>
      <x:c r="AD185" t="str">
        <x:v>Planning dataset only; scores are plausible placeholders, not vendor claims.</x:v>
      </x:c>
    </x:row>
    <x:row r="186">
      <x:c r="A186" t="str">
        <x:v>S031-Pika-DIR</x:v>
      </x:c>
      <x:c r="B186" t="str">
        <x:v>S031</x:v>
      </x:c>
      <x:c r="C186" t="str">
        <x:v>Electrical</x:v>
      </x:c>
      <x:c r="D186" t="str">
        <x:v>cable management</x:v>
      </x:c>
      <x:c r="E186" t="str">
        <x:v>stapling</x:v>
      </x:c>
      <x:c r="F186" t="n">
        <x:v>4</x:v>
      </x:c>
      <x:c r="G186" t="str">
        <x:v>secure NM cable with a staple without crushing the jacket</x:v>
      </x:c>
      <x:c r="H186" t="str">
        <x:v>cable staple, hammer</x:v>
      </x:c>
      <x:c r="I186" t="str">
        <x:v>NM cable, wood stud</x:v>
      </x:c>
      <x:c r="J186" t="str">
        <x:v>Pika 2.2</x:v>
      </x:c>
      <x:c r="K186" t="str">
        <x:v>Direct Natural Language</x:v>
      </x:c>
      <x:c r="L186" t="str">
        <x:v>Baseline wording only; no explicit decomposition.</x:v>
      </x:c>
      <x:c r="M186" t="str">
        <x:v>Close-up realistic instructional DIY video: secure NM cable with a staple without crushing the jacket. Show cable staple, hammer working on NM cable, wood stud. Hands visible, stable camera, no text overlay, neutral shop lighting.</x:v>
      </x:c>
      <x:c r="N186" s="14" t="n">
        <x:v>5</x:v>
      </x:c>
      <x:c r="O186" s="14" t="n">
        <x:v>100314</x:v>
      </x:c>
      <x:c r="P186" t="str">
        <x:v>R-A</x:v>
      </x:c>
      <x:c r="Q186" s="12" t="n">
        <x:v>2.99</x:v>
      </x:c>
      <x:c r="R186" s="12" t="n">
        <x:v>3.13</x:v>
      </x:c>
      <x:c r="S186" s="12" t="n">
        <x:v>3.59</x:v>
      </x:c>
      <x:c r="T186" s="12" t="n">
        <x:v>2.83</x:v>
      </x:c>
      <x:c r="U186" s="12" t="n">
        <x:v>3.42</x:v>
      </x:c>
      <x:c r="V186" s="12" t="n">
        <x:v>3.18</x:v>
      </x:c>
      <x:c r="W186" s="12" t="n">
        <x:f>ROUND((Q186*0.24)+(R186*0.22)+(S186*0.16)+(T186*0.18)+(U186*0.10)+(V186*0.10),2)</x:f>
        <x:v>3.15</x:v>
      </x:c>
      <x:c r="X186" t="str">
        <x:f>IF(W186&gt;=3.55,"Pass","Fail")</x:f>
        <x:v>Fail</x:v>
      </x:c>
      <x:c r="Y186" t="str">
        <x:v>object morphs</x:v>
      </x:c>
      <x:c r="Z186" t="str">
        <x:v>Clip review: Too much is being implied. The cable staple, hammer and NM cable, wood stud are in the scene, but the motion does not demonstrate the actual repair step. The issue is subtle visually, but it matters because the clip is supposed to teach the technique. The baseline prompt is likely under-specifying the tool path.</x:v>
      </x:c>
      <x:c r="AA186" t="str">
        <x:v>Use a reference image for the cable staple, hammer and specify its grip/orientation in plain language.</x:v>
      </x:c>
      <x:c r="AB186" t="str">
        <x:v>Medium</x:v>
      </x:c>
      <x:c r="AC186" t="str"/>
      <x:c r="AD186" t="str">
        <x:v>Planning dataset only; scores are plausible placeholders, not vendor claims.</x:v>
      </x:c>
    </x:row>
    <x:row r="187">
      <x:c r="A187" t="str">
        <x:v>S031-Vidu-DIR</x:v>
      </x:c>
      <x:c r="B187" t="str">
        <x:v>S031</x:v>
      </x:c>
      <x:c r="C187" t="str">
        <x:v>Electrical</x:v>
      </x:c>
      <x:c r="D187" t="str">
        <x:v>cable management</x:v>
      </x:c>
      <x:c r="E187" t="str">
        <x:v>stapling</x:v>
      </x:c>
      <x:c r="F187" t="n">
        <x:v>4</x:v>
      </x:c>
      <x:c r="G187" t="str">
        <x:v>secure NM cable with a staple without crushing the jacket</x:v>
      </x:c>
      <x:c r="H187" t="str">
        <x:v>cable staple, hammer</x:v>
      </x:c>
      <x:c r="I187" t="str">
        <x:v>NM cable, wood stud</x:v>
      </x:c>
      <x:c r="J187" t="str">
        <x:v>Vidu 2.0</x:v>
      </x:c>
      <x:c r="K187" t="str">
        <x:v>Direct Natural Language</x:v>
      </x:c>
      <x:c r="L187" t="str">
        <x:v>Baseline wording only; no explicit decomposition.</x:v>
      </x:c>
      <x:c r="M187" t="str">
        <x:v>Close-up realistic instructional DIY video: secure NM cable with a staple without crushing the jacket. Show cable staple, hammer working on NM cable, wood stud. Hands visible, stable camera, no text overlay, neutral shop lighting.</x:v>
      </x:c>
      <x:c r="N187" s="14" t="n">
        <x:v>5</x:v>
      </x:c>
      <x:c r="O187" s="14" t="n">
        <x:v>100315</x:v>
      </x:c>
      <x:c r="P187" t="str">
        <x:v>R-A</x:v>
      </x:c>
      <x:c r="Q187" s="12" t="n">
        <x:v>2.49</x:v>
      </x:c>
      <x:c r="R187" s="12" t="n">
        <x:v>2.82</x:v>
      </x:c>
      <x:c r="S187" s="12" t="n">
        <x:v>3.06</x:v>
      </x:c>
      <x:c r="T187" s="12" t="n">
        <x:v>2.76</x:v>
      </x:c>
      <x:c r="U187" s="12" t="n">
        <x:v>2.99</x:v>
      </x:c>
      <x:c r="V187" s="12" t="n">
        <x:v>2.6</x:v>
      </x:c>
      <x:c r="W187" s="12" t="n">
        <x:f>ROUND((Q187*0.24)+(R187*0.22)+(S187*0.16)+(T187*0.18)+(U187*0.10)+(V187*0.10),2)</x:f>
        <x:v>2.76</x:v>
      </x:c>
      <x:c r="X187" t="str">
        <x:f>IF(W187&gt;=3.55,"Pass","Fail")</x:f>
        <x:v>Fail</x:v>
      </x:c>
      <x:c r="Y187" t="str">
        <x:v>scale of tool is off</x:v>
      </x:c>
      <x:c r="Z187" t="str">
        <x:v>Rater note: The clip looks like generic DIY stock footage rather than this specific step. The main problem is scale of tool is off, and the end state is not verifiable. On a small preview it might pass, but full-screen review exposes the issue. The baseline prompt is likely under-specifying the tool path.</x:v>
      </x:c>
      <x:c r="AA187" t="str">
        <x:v>Use a reference image for the cable staple, hammer and specify its grip/orientation in plain language.</x:v>
      </x:c>
      <x:c r="AB187" t="str">
        <x:v>High</x:v>
      </x:c>
      <x:c r="AC187" t="str"/>
      <x:c r="AD187" t="str">
        <x:v>Synthetic benchmark entry; generated clip URL should be filled after API run.</x:v>
      </x:c>
    </x:row>
    <x:row r="188">
      <x:c r="A188" t="str">
        <x:v>S032-Veo-STR</x:v>
      </x:c>
      <x:c r="B188" t="str">
        <x:v>S032</x:v>
      </x:c>
      <x:c r="C188" t="str">
        <x:v>Electrical</x:v>
      </x:c>
      <x:c r="D188" t="str">
        <x:v>safety check</x:v>
      </x:c>
      <x:c r="E188" t="str">
        <x:v>labeling</x:v>
      </x:c>
      <x:c r="F188" t="n">
        <x:v>2</x:v>
      </x:c>
      <x:c r="G188" t="str">
        <x:v>label a breaker after identifying the controlled outlet</x:v>
      </x:c>
      <x:c r="H188" t="str">
        <x:v>label maker</x:v>
      </x:c>
      <x:c r="I188" t="str">
        <x:v>breaker panel label area</x:v>
      </x:c>
      <x:c r="J188" t="str">
        <x:v>Veo 3.1</x:v>
      </x:c>
      <x:c r="K188" t="str">
        <x:v>Structured Action-Object-Tool</x:v>
      </x:c>
      <x:c r="L188" t="str">
        <x:v>Action, tool, object, grip, contact point, start/end states.</x:v>
      </x:c>
      <x:c r="M188" t="str">
        <x:v>Close-up realistic instructional DIY video: label a breaker after identifying the controlled outlet. Show label maker working on breaker panel label area. Hands visible, stable camera, no text overlay, neutral shop lighting. Action=labeling; tool=label maker; object/material=breaker panel label area; show tool-to-object contact; start state, motion, and finished state all visible.</x:v>
      </x:c>
      <x:c r="N188" s="14" t="n">
        <x:v>8</x:v>
      </x:c>
      <x:c r="O188" s="14" t="n">
        <x:v>100320</x:v>
      </x:c>
      <x:c r="P188" t="str">
        <x:v>R-C</x:v>
      </x:c>
      <x:c r="Q188" s="12" t="n">
        <x:v>4.06</x:v>
      </x:c>
      <x:c r="R188" s="12" t="n">
        <x:v>4.46</x:v>
      </x:c>
      <x:c r="S188" s="12" t="n">
        <x:v>4.05</x:v>
      </x:c>
      <x:c r="T188" s="12" t="n">
        <x:v>4.91</x:v>
      </x:c>
      <x:c r="U188" s="12" t="n">
        <x:v>4.05</x:v>
      </x:c>
      <x:c r="V188" s="12" t="n">
        <x:v>4.23</x:v>
      </x:c>
      <x:c r="W188" s="12" t="n">
        <x:f>ROUND((Q188*0.24)+(R188*0.22)+(S188*0.16)+(T188*0.18)+(U188*0.10)+(V188*0.10),2)</x:f>
        <x:v>4.32</x:v>
      </x:c>
      <x:c r="X188" t="str">
        <x:f>IF(W188&gt;=3.55,"Pass","Fail")</x:f>
        <x:v>Pass</x:v>
      </x:c>
      <x:c r="Y188" t="str">
        <x:v>none</x:v>
      </x:c>
      <x:c r="Z188" t="str">
        <x:v>Review note: This one would probably pass a quick review. The label maker stays believable, the start and end states are easy to read, and the only nit is that slightly staged tool contact. This reads better as a teaser than as an instructional clip. For this electrical example, the main judgment is still whether the viewer can copy the motion.</x:v>
      </x:c>
      <x:c r="AA188" t="str">
        <x:v>No immediate re-run; keep as candidate and verify with a second rater.</x:v>
      </x:c>
      <x:c r="AB188" t="str">
        <x:v>Medium</x:v>
      </x:c>
      <x:c r="AC188" t="str"/>
      <x:c r="AD188" t="str">
        <x:v>Planning dataset only; scores are plausible placeholders, not vendor claims.</x:v>
      </x:c>
    </x:row>
    <x:row r="189">
      <x:c r="A189" t="str">
        <x:v>S032-Sora-STR</x:v>
      </x:c>
      <x:c r="B189" t="str">
        <x:v>S032</x:v>
      </x:c>
      <x:c r="C189" t="str">
        <x:v>Electrical</x:v>
      </x:c>
      <x:c r="D189" t="str">
        <x:v>safety check</x:v>
      </x:c>
      <x:c r="E189" t="str">
        <x:v>labeling</x:v>
      </x:c>
      <x:c r="F189" t="n">
        <x:v>2</x:v>
      </x:c>
      <x:c r="G189" t="str">
        <x:v>label a breaker after identifying the controlled outlet</x:v>
      </x:c>
      <x:c r="H189" t="str">
        <x:v>label maker</x:v>
      </x:c>
      <x:c r="I189" t="str">
        <x:v>breaker panel label area</x:v>
      </x:c>
      <x:c r="J189" t="str">
        <x:v>Sora 2 Pro</x:v>
      </x:c>
      <x:c r="K189" t="str">
        <x:v>Structured Action-Object-Tool</x:v>
      </x:c>
      <x:c r="L189" t="str">
        <x:v>Action, tool, object, grip, contact point, start/end states.</x:v>
      </x:c>
      <x:c r="M189" t="str">
        <x:v>Close-up realistic instructional DIY video: label a breaker after identifying the controlled outlet. Show label maker working on breaker panel label area. Hands visible, stable camera, no text overlay, neutral shop lighting. Action=labeling; tool=label maker; object/material=breaker panel label area; show tool-to-object contact; start state, motion, and finished state all visible.</x:v>
      </x:c>
      <x:c r="N189" s="14" t="n">
        <x:v>8</x:v>
      </x:c>
      <x:c r="O189" s="14" t="n">
        <x:v>100321</x:v>
      </x:c>
      <x:c r="P189" t="str">
        <x:v>R-B</x:v>
      </x:c>
      <x:c r="Q189" s="12" t="n">
        <x:v>4.23</x:v>
      </x:c>
      <x:c r="R189" s="12" t="n">
        <x:v>4.06</x:v>
      </x:c>
      <x:c r="S189" s="12" t="n">
        <x:v>4.27</x:v>
      </x:c>
      <x:c r="T189" s="12" t="n">
        <x:v>4.27</x:v>
      </x:c>
      <x:c r="U189" s="12" t="n">
        <x:v>4.21</x:v>
      </x:c>
      <x:c r="V189" s="12" t="n">
        <x:v>3.87</x:v>
      </x:c>
      <x:c r="W189" s="12" t="n">
        <x:f>ROUND((Q189*0.24)+(R189*0.22)+(S189*0.16)+(T189*0.18)+(U189*0.10)+(V189*0.10),2)</x:f>
        <x:v>4.17</x:v>
      </x:c>
      <x:c r="X189" t="str">
        <x:f>IF(W189&gt;=3.55,"Pass","Fail")</x:f>
        <x:v>Pass</x:v>
      </x:c>
      <x:c r="Y189" t="str">
        <x:v>minor continuity jump</x:v>
      </x:c>
      <x:c r="Z189" t="str">
        <x:v>Review note: Best part is the pacing: it gives enough time to understand labeling without turning into a beauty shot. Minor issue: tool rotation is a beat late. This reads better as a teaser than as an instructional clip. For this electrical example, the main judgment is still whether the viewer can copy the motion.</x:v>
      </x:c>
      <x:c r="AA189" t="str">
        <x:v>Ask for a static close-up and require the label maker to touch the breaker panel label area before any motion starts.</x:v>
      </x:c>
      <x:c r="AB189" t="str">
        <x:v>High</x:v>
      </x:c>
      <x:c r="AC189" t="str"/>
      <x:c r="AD189" t="str">
        <x:v>Synthetic benchmark entry; generated clip URL should be filled after API run.</x:v>
      </x:c>
    </x:row>
    <x:row r="190">
      <x:c r="A190" t="str">
        <x:v>S032-Runway-STR</x:v>
      </x:c>
      <x:c r="B190" t="str">
        <x:v>S032</x:v>
      </x:c>
      <x:c r="C190" t="str">
        <x:v>Electrical</x:v>
      </x:c>
      <x:c r="D190" t="str">
        <x:v>safety check</x:v>
      </x:c>
      <x:c r="E190" t="str">
        <x:v>labeling</x:v>
      </x:c>
      <x:c r="F190" t="n">
        <x:v>2</x:v>
      </x:c>
      <x:c r="G190" t="str">
        <x:v>label a breaker after identifying the controlled outlet</x:v>
      </x:c>
      <x:c r="H190" t="str">
        <x:v>label maker</x:v>
      </x:c>
      <x:c r="I190" t="str">
        <x:v>breaker panel label area</x:v>
      </x:c>
      <x:c r="J190" t="str">
        <x:v>Runway Gen-4.5</x:v>
      </x:c>
      <x:c r="K190" t="str">
        <x:v>Structured Action-Object-Tool</x:v>
      </x:c>
      <x:c r="L190" t="str">
        <x:v>Action, tool, object, grip, contact point, start/end states.</x:v>
      </x:c>
      <x:c r="M190" t="str">
        <x:v>Close-up realistic instructional DIY video: label a breaker after identifying the controlled outlet. Show label maker working on breaker panel label area. Hands visible, stable camera, no text overlay, neutral shop lighting. Action=labeling; tool=label maker; object/material=breaker panel label area; show tool-to-object contact; start state, motion, and finished state all visible.</x:v>
      </x:c>
      <x:c r="N190" s="14" t="n">
        <x:v>5</x:v>
      </x:c>
      <x:c r="O190" s="14" t="n">
        <x:v>100322</x:v>
      </x:c>
      <x:c r="P190" t="str">
        <x:v>R-E</x:v>
      </x:c>
      <x:c r="Q190" s="12" t="n">
        <x:v>4.43</x:v>
      </x:c>
      <x:c r="R190" s="12" t="n">
        <x:v>4.37</x:v>
      </x:c>
      <x:c r="S190" s="12" t="n">
        <x:v>3.92</x:v>
      </x:c>
      <x:c r="T190" s="12" t="n">
        <x:v>3.93</x:v>
      </x:c>
      <x:c r="U190" s="12" t="n">
        <x:v>3.62</x:v>
      </x:c>
      <x:c r="V190" s="12" t="n">
        <x:v>4.36</x:v>
      </x:c>
      <x:c r="W190" s="12" t="n">
        <x:f>ROUND((Q190*0.24)+(R190*0.22)+(S190*0.16)+(T190*0.18)+(U190*0.10)+(V190*0.10),2)</x:f>
        <x:v>4.16</x:v>
      </x:c>
      <x:c r="X190" t="str">
        <x:f>IF(W190&gt;=3.55,"Pass","Fail")</x:f>
        <x:v>Pass</x:v>
      </x:c>
      <x:c r="Y190" t="str">
        <x:v>contact point hidden</x:v>
      </x:c>
      <x:c r="Z190" t="str">
        <x:v>QA note: Clear enough for a learner. The workpiece does not wander and the camera stays on the breaker panel label area; I would still add a freeze or caption after generation. The issue is subtle visually, but it matters because the clip is supposed to teach the technique. For this electrical example, the main judgment is still whether the viewer can copy the motion.</x:v>
      </x:c>
      <x:c r="AA190" t="str">
        <x:v>Ask for a static close-up and require the label maker to touch the breaker panel label area before any motion starts.</x:v>
      </x:c>
      <x:c r="AB190" t="str">
        <x:v>Medium</x:v>
      </x:c>
      <x:c r="AC190" t="str"/>
      <x:c r="AD190" t="str">
        <x:v>Simulated pilot row for planning; replace with blinded ratings after generating actual clips.</x:v>
      </x:c>
    </x:row>
    <x:row r="191">
      <x:c r="A191" t="str">
        <x:v>S032-Kling-STR</x:v>
      </x:c>
      <x:c r="B191" t="str">
        <x:v>S032</x:v>
      </x:c>
      <x:c r="C191" t="str">
        <x:v>Electrical</x:v>
      </x:c>
      <x:c r="D191" t="str">
        <x:v>safety check</x:v>
      </x:c>
      <x:c r="E191" t="str">
        <x:v>labeling</x:v>
      </x:c>
      <x:c r="F191" t="n">
        <x:v>2</x:v>
      </x:c>
      <x:c r="G191" t="str">
        <x:v>label a breaker after identifying the controlled outlet</x:v>
      </x:c>
      <x:c r="H191" t="str">
        <x:v>label maker</x:v>
      </x:c>
      <x:c r="I191" t="str">
        <x:v>breaker panel label area</x:v>
      </x:c>
      <x:c r="J191" t="str">
        <x:v>Kling v3.0 (Replicate)</x:v>
      </x:c>
      <x:c r="K191" t="str">
        <x:v>Structured Action-Object-Tool</x:v>
      </x:c>
      <x:c r="L191" t="str">
        <x:v>Action, tool, object, grip, contact point, start/end states.</x:v>
      </x:c>
      <x:c r="M191" t="str">
        <x:v>Close-up realistic instructional DIY video: label a breaker after identifying the controlled outlet. Show label maker working on breaker panel label area. Hands visible, stable camera, no text overlay, neutral shop lighting. Action=labeling; tool=label maker; object/material=breaker panel label area; show tool-to-object contact; start state, motion, and finished state all visible.</x:v>
      </x:c>
      <x:c r="N191" s="14" t="n">
        <x:v>10</x:v>
      </x:c>
      <x:c r="O191" s="14" t="n">
        <x:v>100323</x:v>
      </x:c>
      <x:c r="P191" t="str">
        <x:v>R-E</x:v>
      </x:c>
      <x:c r="Q191" s="12" t="n">
        <x:v>4.48</x:v>
      </x:c>
      <x:c r="R191" s="12" t="n">
        <x:v>3.89</x:v>
      </x:c>
      <x:c r="S191" s="12" t="n">
        <x:v>3.58</x:v>
      </x:c>
      <x:c r="T191" s="12" t="n">
        <x:v>4.17</x:v>
      </x:c>
      <x:c r="U191" s="12" t="n">
        <x:v>3.43</x:v>
      </x:c>
      <x:c r="V191" s="12" t="n">
        <x:v>4.51</x:v>
      </x:c>
      <x:c r="W191" s="12" t="n">
        <x:f>ROUND((Q191*0.24)+(R191*0.22)+(S191*0.16)+(T191*0.18)+(U191*0.10)+(V191*0.10),2)</x:f>
        <x:v>4.05</x:v>
      </x:c>
      <x:c r="X191" t="str">
        <x:f>IF(W191&gt;=3.55,"Pass","Fail")</x:f>
        <x:v>Pass</x:v>
      </x:c>
      <x:c r="Y191" t="str">
        <x:v>contact point hidden</x:v>
      </x:c>
      <x:c r="Z191" t="str">
        <x:v>Human check: The clip has the right ingredients but not quite the right mechanics. It needs a tighter prompt about grip, contact, and the end position. The prompt should prioritize hand path over cinematic lighting. For this electrical example, the main judgment is still whether the viewer can copy the motion.</x:v>
      </x:c>
      <x:c r="AA191" t="str">
        <x:v>Use a reference image for the label maker and specify its grip/orientation in plain language.</x:v>
      </x:c>
      <x:c r="AB191" t="str">
        <x:v>Medium</x:v>
      </x:c>
      <x:c r="AC191" t="str"/>
      <x:c r="AD191" t="str">
        <x:v>Mock rater record for experiment design; audit against real video outputs before publication.</x:v>
      </x:c>
    </x:row>
    <x:row r="192">
      <x:c r="A192" t="str">
        <x:v>S032-Pika-STR</x:v>
      </x:c>
      <x:c r="B192" t="str">
        <x:v>S032</x:v>
      </x:c>
      <x:c r="C192" t="str">
        <x:v>Electrical</x:v>
      </x:c>
      <x:c r="D192" t="str">
        <x:v>safety check</x:v>
      </x:c>
      <x:c r="E192" t="str">
        <x:v>labeling</x:v>
      </x:c>
      <x:c r="F192" t="n">
        <x:v>2</x:v>
      </x:c>
      <x:c r="G192" t="str">
        <x:v>label a breaker after identifying the controlled outlet</x:v>
      </x:c>
      <x:c r="H192" t="str">
        <x:v>label maker</x:v>
      </x:c>
      <x:c r="I192" t="str">
        <x:v>breaker panel label area</x:v>
      </x:c>
      <x:c r="J192" t="str">
        <x:v>Pika 2.2</x:v>
      </x:c>
      <x:c r="K192" t="str">
        <x:v>Structured Action-Object-Tool</x:v>
      </x:c>
      <x:c r="L192" t="str">
        <x:v>Action, tool, object, grip, contact point, start/end states.</x:v>
      </x:c>
      <x:c r="M192" t="str">
        <x:v>Close-up realistic instructional DIY video: label a breaker after identifying the controlled outlet. Show label maker working on breaker panel label area. Hands visible, stable camera, no text overlay, neutral shop lighting. Action=labeling; tool=label maker; object/material=breaker panel label area; show tool-to-object contact; start state, motion, and finished state all visible.</x:v>
      </x:c>
      <x:c r="N192" s="14" t="n">
        <x:v>5</x:v>
      </x:c>
      <x:c r="O192" s="14" t="n">
        <x:v>100324</x:v>
      </x:c>
      <x:c r="P192" t="str">
        <x:v>R-D</x:v>
      </x:c>
      <x:c r="Q192" s="12" t="n">
        <x:v>3</x:v>
      </x:c>
      <x:c r="R192" s="12" t="n">
        <x:v>4.09</x:v>
      </x:c>
      <x:c r="S192" s="12" t="n">
        <x:v>3.44</x:v>
      </x:c>
      <x:c r="T192" s="12" t="n">
        <x:v>3.48</x:v>
      </x:c>
      <x:c r="U192" s="12" t="n">
        <x:v>3.11</x:v>
      </x:c>
      <x:c r="V192" s="12" t="n">
        <x:v>3.81</x:v>
      </x:c>
      <x:c r="W192" s="12" t="n">
        <x:f>ROUND((Q192*0.24)+(R192*0.22)+(S192*0.16)+(T192*0.18)+(U192*0.10)+(V192*0.10),2)</x:f>
        <x:v>3.49</x:v>
      </x:c>
      <x:c r="X192" t="str">
        <x:f>IF(W192&gt;=3.55,"Pass","Fail")</x:f>
        <x:v>Fail</x:v>
      </x:c>
      <x:c r="Y192" t="str">
        <x:v>camera blocks work</x:v>
      </x:c>
      <x:c r="Z192" t="str">
        <x:v>Rater note: Too much is being implied. The label maker and breaker panel label area are in the scene, but the motion does not demonstrate the actual repair step. The clip needs a verifier pass before it can enter the training pool. For this electrical example, the main judgment is still whether the viewer can copy the motion.</x:v>
      </x:c>
      <x:c r="AA192" t="str">
        <x:v>Break the action into start, contact, movement, and finish; ban extra tools and hand morphing.</x:v>
      </x:c>
      <x:c r="AB192" t="str">
        <x:v>High</x:v>
      </x:c>
      <x:c r="AC192" t="str"/>
      <x:c r="AD192" t="str">
        <x:v>Mock rater record for experiment design; audit against real video outputs before publication.</x:v>
      </x:c>
    </x:row>
    <x:row r="193">
      <x:c r="A193" t="str">
        <x:v>S032-Vidu-STR</x:v>
      </x:c>
      <x:c r="B193" t="str">
        <x:v>S032</x:v>
      </x:c>
      <x:c r="C193" t="str">
        <x:v>Electrical</x:v>
      </x:c>
      <x:c r="D193" t="str">
        <x:v>safety check</x:v>
      </x:c>
      <x:c r="E193" t="str">
        <x:v>labeling</x:v>
      </x:c>
      <x:c r="F193" t="n">
        <x:v>2</x:v>
      </x:c>
      <x:c r="G193" t="str">
        <x:v>label a breaker after identifying the controlled outlet</x:v>
      </x:c>
      <x:c r="H193" t="str">
        <x:v>label maker</x:v>
      </x:c>
      <x:c r="I193" t="str">
        <x:v>breaker panel label area</x:v>
      </x:c>
      <x:c r="J193" t="str">
        <x:v>Vidu 2.0</x:v>
      </x:c>
      <x:c r="K193" t="str">
        <x:v>Structured Action-Object-Tool</x:v>
      </x:c>
      <x:c r="L193" t="str">
        <x:v>Action, tool, object, grip, contact point, start/end states.</x:v>
      </x:c>
      <x:c r="M193" t="str">
        <x:v>Close-up realistic instructional DIY video: label a breaker after identifying the controlled outlet. Show label maker working on breaker panel label area. Hands visible, stable camera, no text overlay, neutral shop lighting. Action=labeling; tool=label maker; object/material=breaker panel label area; show tool-to-object contact; start state, motion, and finished state all visible.</x:v>
      </x:c>
      <x:c r="N193" s="14" t="n">
        <x:v>5</x:v>
      </x:c>
      <x:c r="O193" s="14" t="n">
        <x:v>100325</x:v>
      </x:c>
      <x:c r="P193" t="str">
        <x:v>R-C</x:v>
      </x:c>
      <x:c r="Q193" s="12" t="n">
        <x:v>3.82</x:v>
      </x:c>
      <x:c r="R193" s="12" t="n">
        <x:v>3.77</x:v>
      </x:c>
      <x:c r="S193" s="12" t="n">
        <x:v>3.25</x:v>
      </x:c>
      <x:c r="T193" s="12" t="n">
        <x:v>3.53</x:v>
      </x:c>
      <x:c r="U193" s="12" t="n">
        <x:v>3.14</x:v>
      </x:c>
      <x:c r="V193" s="12" t="n">
        <x:v>3.44</x:v>
      </x:c>
      <x:c r="W193" s="12" t="n">
        <x:f>ROUND((Q193*0.24)+(R193*0.22)+(S193*0.16)+(T193*0.18)+(U193*0.10)+(V193*0.10),2)</x:f>
        <x:v>3.56</x:v>
      </x:c>
      <x:c r="X193" t="str">
        <x:f>IF(W193&gt;=3.55,"Pass","Fail")</x:f>
        <x:v>Pass</x:v>
      </x:c>
      <x:c r="Y193" t="str">
        <x:v>camera blocks work</x:v>
      </x:c>
      <x:c r="Z193" t="str">
        <x:v>Rater note: The intention is clear, especially if you already know the step. A novice might miss the key detail because this issue appears right where the action should be most explicit: camera blocks work. This would be safer as a reference-aided run than a text-only run. For this electrical example, the main judgment is still whether the viewer can copy the motion.</x:v>
      </x:c>
      <x:c r="AA193" t="str">
        <x:v>Add a one-sentence end-state requirement: viewer must see the completed labeling result for one full second.</x:v>
      </x:c>
      <x:c r="AB193" t="str">
        <x:v>Medium</x:v>
      </x:c>
      <x:c r="AC193" t="str"/>
      <x:c r="AD193" t="str">
        <x:v>Synthetic benchmark entry; generated clip URL should be filled after API run.</x:v>
      </x:c>
    </x:row>
    <x:row r="194">
      <x:c r="A194" t="str">
        <x:v>S033-Veo-MET</x:v>
      </x:c>
      <x:c r="B194" t="str">
        <x:v>S033</x:v>
      </x:c>
      <x:c r="C194" t="str">
        <x:v>Electrical</x:v>
      </x:c>
      <x:c r="D194" t="str">
        <x:v>junction box</x:v>
      </x:c>
      <x:c r="E194" t="str">
        <x:v>checking</x:v>
      </x:c>
      <x:c r="F194" t="n">
        <x:v>3</x:v>
      </x:c>
      <x:c r="G194" t="str">
        <x:v>verify no bare copper extends outside a wire connector</x:v>
      </x:c>
      <x:c r="H194" t="str">
        <x:v>inspection light</x:v>
      </x:c>
      <x:c r="I194" t="str">
        <x:v>wire connector</x:v>
      </x:c>
      <x:c r="J194" t="str">
        <x:v>Veo 3.1</x:v>
      </x:c>
      <x:c r="K194" t="str">
        <x:v>Metadata-Enriched</x:v>
      </x:c>
      <x:c r="L194" t="str">
        <x:v>Uses clipDescription, clipSummary, toolNames, suppliesNames, processTechniques, safetyEquipment.</x:v>
      </x:c>
      <x:c r="M194" t="str">
        <x:v>Close-up realistic instructional DIY video: verify no bare copper extends outside a wire connector. Show inspection light working on wire connector. Hands visible, stable camera, no text overlay, neutral shop lighting. clipDescription='verify no bare copper extends outside a wire connector'. clipSummary='one practical repair step'. toolNames='inspection light'. suppliesNames='wire connector'. processTechnique='checking'. Safety cue: use normal homeowner precautions and avoid risky shortcuts.</x:v>
      </x:c>
      <x:c r="N194" s="14" t="n">
        <x:v>8</x:v>
      </x:c>
      <x:c r="O194" s="14" t="n">
        <x:v>100330</x:v>
      </x:c>
      <x:c r="P194" t="str">
        <x:v>R-B</x:v>
      </x:c>
      <x:c r="Q194" s="12" t="n">
        <x:v>4.44</x:v>
      </x:c>
      <x:c r="R194" s="12" t="n">
        <x:v>4.01</x:v>
      </x:c>
      <x:c r="S194" s="12" t="n">
        <x:v>4.09</x:v>
      </x:c>
      <x:c r="T194" s="12" t="n">
        <x:v>4.64</x:v>
      </x:c>
      <x:c r="U194" s="12" t="n">
        <x:v>4.23</x:v>
      </x:c>
      <x:c r="V194" s="12" t="n">
        <x:v>4.23</x:v>
      </x:c>
      <x:c r="W194" s="12" t="n">
        <x:f>ROUND((Q194*0.24)+(R194*0.22)+(S194*0.16)+(T194*0.18)+(U194*0.10)+(V194*0.10),2)</x:f>
        <x:v>4.28</x:v>
      </x:c>
      <x:c r="X194" t="str">
        <x:f>IF(W194&gt;=3.55,"Pass","Fail")</x:f>
        <x:v>Pass</x:v>
      </x:c>
      <x:c r="Y194" t="str">
        <x:v>none</x:v>
      </x:c>
      <x:c r="Z194" t="str">
        <x:v>Clip review: The clip feels like a usable shop-demo take. I can see the hand position and the wire connector; it just needs a slightly longer hold on the final state. The tool silhouette is acceptable; the mechanics are the weak part. For this electrical example, the main judgment is still whether the viewer can copy the motion.</x:v>
      </x:c>
      <x:c r="AA194" t="str">
        <x:v>No immediate re-run; keep as candidate and verify with a second rater.</x:v>
      </x:c>
      <x:c r="AB194" t="str">
        <x:v>Medium-High</x:v>
      </x:c>
      <x:c r="AC194" t="str"/>
      <x:c r="AD194" t="str">
        <x:v>Mock rater record for experiment design; audit against real video outputs before publication.</x:v>
      </x:c>
    </x:row>
    <x:row r="195">
      <x:c r="A195" t="str">
        <x:v>S033-Sora-MET</x:v>
      </x:c>
      <x:c r="B195" t="str">
        <x:v>S033</x:v>
      </x:c>
      <x:c r="C195" t="str">
        <x:v>Electrical</x:v>
      </x:c>
      <x:c r="D195" t="str">
        <x:v>junction box</x:v>
      </x:c>
      <x:c r="E195" t="str">
        <x:v>checking</x:v>
      </x:c>
      <x:c r="F195" t="n">
        <x:v>3</x:v>
      </x:c>
      <x:c r="G195" t="str">
        <x:v>verify no bare copper extends outside a wire connector</x:v>
      </x:c>
      <x:c r="H195" t="str">
        <x:v>inspection light</x:v>
      </x:c>
      <x:c r="I195" t="str">
        <x:v>wire connector</x:v>
      </x:c>
      <x:c r="J195" t="str">
        <x:v>Sora 2 Pro</x:v>
      </x:c>
      <x:c r="K195" t="str">
        <x:v>Metadata-Enriched</x:v>
      </x:c>
      <x:c r="L195" t="str">
        <x:v>Uses clipDescription, clipSummary, toolNames, suppliesNames, processTechniques, safetyEquipment.</x:v>
      </x:c>
      <x:c r="M195" t="str">
        <x:v>Close-up realistic instructional DIY video: verify no bare copper extends outside a wire connector. Show inspection light working on wire connector. Hands visible, stable camera, no text overlay, neutral shop lighting. clipDescription='verify no bare copper extends outside a wire connector'. clipSummary='one practical repair step'. toolNames='inspection light'. suppliesNames='wire connector'. processTechnique='checking'. Safety cue: use normal homeowner precautions and avoid risky shortcuts.</x:v>
      </x:c>
      <x:c r="N195" s="14" t="n">
        <x:v>8</x:v>
      </x:c>
      <x:c r="O195" s="14" t="n">
        <x:v>100331</x:v>
      </x:c>
      <x:c r="P195" t="str">
        <x:v>R-D</x:v>
      </x:c>
      <x:c r="Q195" s="12" t="n">
        <x:v>4.11</x:v>
      </x:c>
      <x:c r="R195" s="12" t="n">
        <x:v>3.84</x:v>
      </x:c>
      <x:c r="S195" s="12" t="n">
        <x:v>3.98</x:v>
      </x:c>
      <x:c r="T195" s="12" t="n">
        <x:v>4.05</x:v>
      </x:c>
      <x:c r="U195" s="12" t="n">
        <x:v>3.84</x:v>
      </x:c>
      <x:c r="V195" s="12" t="n">
        <x:v>4.36</x:v>
      </x:c>
      <x:c r="W195" s="12" t="n">
        <x:f>ROUND((Q195*0.24)+(R195*0.22)+(S195*0.16)+(T195*0.18)+(U195*0.10)+(V195*0.10),2)</x:f>
        <x:v>4.02</x:v>
      </x:c>
      <x:c r="X195" t="str">
        <x:f>IF(W195&gt;=3.55,"Pass","Fail")</x:f>
        <x:v>Pass</x:v>
      </x:c>
      <x:c r="Y195" t="str">
        <x:v>endpoint not visible</x:v>
      </x:c>
      <x:c r="Z195" t="str">
        <x:v>Human check: The clip has the right ingredients but not quite the right mechanics. It needs a tighter prompt about grip, contact, and the end position. The mistake appears late, so a simple thumbnail review would probably miss it. For this electrical example, the main judgment is still whether the viewer can copy the motion.</x:v>
      </x:c>
      <x:c r="AA195" t="str">
        <x:v>Specify the exact contact point and do not allow the hand to cover it.</x:v>
      </x:c>
      <x:c r="AB195" t="str">
        <x:v>Medium</x:v>
      </x:c>
      <x:c r="AC195" t="str"/>
      <x:c r="AD195" t="str">
        <x:v>Synthetic benchmark entry; generated clip URL should be filled after API run.</x:v>
      </x:c>
    </x:row>
    <x:row r="196">
      <x:c r="A196" t="str">
        <x:v>S033-Runway-MET</x:v>
      </x:c>
      <x:c r="B196" t="str">
        <x:v>S033</x:v>
      </x:c>
      <x:c r="C196" t="str">
        <x:v>Electrical</x:v>
      </x:c>
      <x:c r="D196" t="str">
        <x:v>junction box</x:v>
      </x:c>
      <x:c r="E196" t="str">
        <x:v>checking</x:v>
      </x:c>
      <x:c r="F196" t="n">
        <x:v>3</x:v>
      </x:c>
      <x:c r="G196" t="str">
        <x:v>verify no bare copper extends outside a wire connector</x:v>
      </x:c>
      <x:c r="H196" t="str">
        <x:v>inspection light</x:v>
      </x:c>
      <x:c r="I196" t="str">
        <x:v>wire connector</x:v>
      </x:c>
      <x:c r="J196" t="str">
        <x:v>Runway Gen-4.5</x:v>
      </x:c>
      <x:c r="K196" t="str">
        <x:v>Metadata-Enriched</x:v>
      </x:c>
      <x:c r="L196" t="str">
        <x:v>Uses clipDescription, clipSummary, toolNames, suppliesNames, processTechniques, safetyEquipment.</x:v>
      </x:c>
      <x:c r="M196" t="str">
        <x:v>Close-up realistic instructional DIY video: verify no bare copper extends outside a wire connector. Show inspection light working on wire connector. Hands visible, stable camera, no text overlay, neutral shop lighting. clipDescription='verify no bare copper extends outside a wire connector'. clipSummary='one practical repair step'. toolNames='inspection light'. suppliesNames='wire connector'. processTechnique='checking'. Safety cue: use normal homeowner precautions and avoid risky shortcuts.</x:v>
      </x:c>
      <x:c r="N196" s="14" t="n">
        <x:v>5</x:v>
      </x:c>
      <x:c r="O196" s="14" t="n">
        <x:v>100332</x:v>
      </x:c>
      <x:c r="P196" t="str">
        <x:v>R-B</x:v>
      </x:c>
      <x:c r="Q196" s="12" t="n">
        <x:v>4.3</x:v>
      </x:c>
      <x:c r="R196" s="12" t="n">
        <x:v>3.99</x:v>
      </x:c>
      <x:c r="S196" s="12" t="n">
        <x:v>3.92</x:v>
      </x:c>
      <x:c r="T196" s="12" t="n">
        <x:v>4.01</x:v>
      </x:c>
      <x:c r="U196" s="12" t="n">
        <x:v>3.58</x:v>
      </x:c>
      <x:c r="V196" s="12" t="n">
        <x:v>3.19</x:v>
      </x:c>
      <x:c r="W196" s="12" t="n">
        <x:f>ROUND((Q196*0.24)+(R196*0.22)+(S196*0.16)+(T196*0.18)+(U196*0.10)+(V196*0.10),2)</x:f>
        <x:v>3.94</x:v>
      </x:c>
      <x:c r="X196" t="str">
        <x:f>IF(W196&gt;=3.55,"Pass","Fail")</x:f>
        <x:v>Pass</x:v>
      </x:c>
      <x:c r="Y196" t="str">
        <x:v>endpoint not visible</x:v>
      </x:c>
      <x:c r="Z196" t="str">
        <x:v>Human check: Usable, but I would not show it without review. The inspection light is recognizable, yet the exact contact point is hard to see when the hand crosses the frame. The most important fix is to show the before-and-after state without a cut. For this electrical example, the main judgment is still whether the viewer can copy the motion.</x:v>
      </x:c>
      <x:c r="AA196" t="str">
        <x:v>Use a reference image for the inspection light and specify its grip/orientation in plain language.</x:v>
      </x:c>
      <x:c r="AB196" t="str">
        <x:v>Medium-High</x:v>
      </x:c>
      <x:c r="AC196" t="str"/>
      <x:c r="AD196" t="str">
        <x:v>Planning dataset only; scores are plausible placeholders, not vendor claims.</x:v>
      </x:c>
    </x:row>
    <x:row r="197">
      <x:c r="A197" t="str">
        <x:v>S033-Kling-MET</x:v>
      </x:c>
      <x:c r="B197" t="str">
        <x:v>S033</x:v>
      </x:c>
      <x:c r="C197" t="str">
        <x:v>Electrical</x:v>
      </x:c>
      <x:c r="D197" t="str">
        <x:v>junction box</x:v>
      </x:c>
      <x:c r="E197" t="str">
        <x:v>checking</x:v>
      </x:c>
      <x:c r="F197" t="n">
        <x:v>3</x:v>
      </x:c>
      <x:c r="G197" t="str">
        <x:v>verify no bare copper extends outside a wire connector</x:v>
      </x:c>
      <x:c r="H197" t="str">
        <x:v>inspection light</x:v>
      </x:c>
      <x:c r="I197" t="str">
        <x:v>wire connector</x:v>
      </x:c>
      <x:c r="J197" t="str">
        <x:v>Kling v3.0 (Replicate)</x:v>
      </x:c>
      <x:c r="K197" t="str">
        <x:v>Metadata-Enriched</x:v>
      </x:c>
      <x:c r="L197" t="str">
        <x:v>Uses clipDescription, clipSummary, toolNames, suppliesNames, processTechniques, safetyEquipment.</x:v>
      </x:c>
      <x:c r="M197" t="str">
        <x:v>Close-up realistic instructional DIY video: verify no bare copper extends outside a wire connector. Show inspection light working on wire connector. Hands visible, stable camera, no text overlay, neutral shop lighting. clipDescription='verify no bare copper extends outside a wire connector'. clipSummary='one practical repair step'. toolNames='inspection light'. suppliesNames='wire connector'. processTechnique='checking'. Safety cue: use normal homeowner precautions and avoid risky shortcuts.</x:v>
      </x:c>
      <x:c r="N197" s="14" t="n">
        <x:v>10</x:v>
      </x:c>
      <x:c r="O197" s="14" t="n">
        <x:v>100333</x:v>
      </x:c>
      <x:c r="P197" t="str">
        <x:v>R-D</x:v>
      </x:c>
      <x:c r="Q197" s="12" t="n">
        <x:v>4.2</x:v>
      </x:c>
      <x:c r="R197" s="12" t="n">
        <x:v>4.18</x:v>
      </x:c>
      <x:c r="S197" s="12" t="n">
        <x:v>3.93</x:v>
      </x:c>
      <x:c r="T197" s="12" t="n">
        <x:v>3.99</x:v>
      </x:c>
      <x:c r="U197" s="12" t="n">
        <x:v>3.25</x:v>
      </x:c>
      <x:c r="V197" s="12" t="n">
        <x:v>3.58</x:v>
      </x:c>
      <x:c r="W197" s="12" t="n">
        <x:f>ROUND((Q197*0.24)+(R197*0.22)+(S197*0.16)+(T197*0.18)+(U197*0.10)+(V197*0.10),2)</x:f>
        <x:v>3.96</x:v>
      </x:c>
      <x:c r="X197" t="str">
        <x:f>IF(W197&gt;=3.55,"Pass","Fail")</x:f>
        <x:v>Pass</x:v>
      </x:c>
      <x:c r="Y197" t="str">
        <x:v>endpoint not visible</x:v>
      </x:c>
      <x:c r="Z197" t="str">
        <x:v>Rater note: Usable, but I would not show it without review. The inspection light is recognizable, yet the exact contact point is hard to see when the hand crosses the frame. This would be safer as a reference-aided run than a text-only run. For this electrical example, the main judgment is still whether the viewer can copy the motion.</x:v>
      </x:c>
      <x:c r="AA197" t="str">
        <x:v>Break the action into start, contact, movement, and finish; ban extra tools and hand morphing.</x:v>
      </x:c>
      <x:c r="AB197" t="str">
        <x:v>Medium</x:v>
      </x:c>
      <x:c r="AC197" t="str"/>
      <x:c r="AD197" t="str">
        <x:v>Synthetic benchmark entry; generated clip URL should be filled after API run.</x:v>
      </x:c>
    </x:row>
    <x:row r="198">
      <x:c r="A198" t="str">
        <x:v>S033-Pika-MET</x:v>
      </x:c>
      <x:c r="B198" t="str">
        <x:v>S033</x:v>
      </x:c>
      <x:c r="C198" t="str">
        <x:v>Electrical</x:v>
      </x:c>
      <x:c r="D198" t="str">
        <x:v>junction box</x:v>
      </x:c>
      <x:c r="E198" t="str">
        <x:v>checking</x:v>
      </x:c>
      <x:c r="F198" t="n">
        <x:v>3</x:v>
      </x:c>
      <x:c r="G198" t="str">
        <x:v>verify no bare copper extends outside a wire connector</x:v>
      </x:c>
      <x:c r="H198" t="str">
        <x:v>inspection light</x:v>
      </x:c>
      <x:c r="I198" t="str">
        <x:v>wire connector</x:v>
      </x:c>
      <x:c r="J198" t="str">
        <x:v>Pika 2.2</x:v>
      </x:c>
      <x:c r="K198" t="str">
        <x:v>Metadata-Enriched</x:v>
      </x:c>
      <x:c r="L198" t="str">
        <x:v>Uses clipDescription, clipSummary, toolNames, suppliesNames, processTechniques, safetyEquipment.</x:v>
      </x:c>
      <x:c r="M198" t="str">
        <x:v>Close-up realistic instructional DIY video: verify no bare copper extends outside a wire connector. Show inspection light working on wire connector. Hands visible, stable camera, no text overlay, neutral shop lighting. clipDescription='verify no bare copper extends outside a wire connector'. clipSummary='one practical repair step'. toolNames='inspection light'. suppliesNames='wire connector'. processTechnique='checking'. Safety cue: use normal homeowner precautions and avoid risky shortcuts.</x:v>
      </x:c>
      <x:c r="N198" s="14" t="n">
        <x:v>5</x:v>
      </x:c>
      <x:c r="O198" s="14" t="n">
        <x:v>100334</x:v>
      </x:c>
      <x:c r="P198" t="str">
        <x:v>R-C</x:v>
      </x:c>
      <x:c r="Q198" s="12" t="n">
        <x:v>3.55</x:v>
      </x:c>
      <x:c r="R198" s="12" t="n">
        <x:v>3.46</x:v>
      </x:c>
      <x:c r="S198" s="12" t="n">
        <x:v>3.1</x:v>
      </x:c>
      <x:c r="T198" s="12" t="n">
        <x:v>3.3</x:v>
      </x:c>
      <x:c r="U198" s="12" t="n">
        <x:v>3.57</x:v>
      </x:c>
      <x:c r="V198" s="12" t="n">
        <x:v>3.64</x:v>
      </x:c>
      <x:c r="W198" s="12" t="n">
        <x:f>ROUND((Q198*0.24)+(R198*0.22)+(S198*0.16)+(T198*0.18)+(U198*0.10)+(V198*0.10),2)</x:f>
        <x:v>3.42</x:v>
      </x:c>
      <x:c r="X198" t="str">
        <x:f>IF(W198&gt;=3.55,"Pass","Fail")</x:f>
        <x:v>Fail</x:v>
      </x:c>
      <x:c r="Y198" t="str">
        <x:v>tool floats near object</x:v>
      </x:c>
      <x:c r="Z198" t="str">
        <x:v>Human check: The generated clip loses the procedure. I would re-run with a reference frame and a stricter Action-Object-Tool prompt. I would keep the same camera angle but ask for a tighter view of the contact point. For this electrical example, the main judgment is still whether the viewer can copy the motion.</x:v>
      </x:c>
      <x:c r="AA198" t="str">
        <x:v>Ask for a static close-up and require the inspection light to touch the wire connector before any motion starts.</x:v>
      </x:c>
      <x:c r="AB198" t="str">
        <x:v>Medium</x:v>
      </x:c>
      <x:c r="AC198" t="str"/>
      <x:c r="AD198" t="str">
        <x:v>Planning dataset only; scores are plausible placeholders, not vendor claims.</x:v>
      </x:c>
    </x:row>
    <x:row r="199">
      <x:c r="A199" t="str">
        <x:v>S033-Vidu-MET</x:v>
      </x:c>
      <x:c r="B199" t="str">
        <x:v>S033</x:v>
      </x:c>
      <x:c r="C199" t="str">
        <x:v>Electrical</x:v>
      </x:c>
      <x:c r="D199" t="str">
        <x:v>junction box</x:v>
      </x:c>
      <x:c r="E199" t="str">
        <x:v>checking</x:v>
      </x:c>
      <x:c r="F199" t="n">
        <x:v>3</x:v>
      </x:c>
      <x:c r="G199" t="str">
        <x:v>verify no bare copper extends outside a wire connector</x:v>
      </x:c>
      <x:c r="H199" t="str">
        <x:v>inspection light</x:v>
      </x:c>
      <x:c r="I199" t="str">
        <x:v>wire connector</x:v>
      </x:c>
      <x:c r="J199" t="str">
        <x:v>Vidu 2.0</x:v>
      </x:c>
      <x:c r="K199" t="str">
        <x:v>Metadata-Enriched</x:v>
      </x:c>
      <x:c r="L199" t="str">
        <x:v>Uses clipDescription, clipSummary, toolNames, suppliesNames, processTechniques, safetyEquipment.</x:v>
      </x:c>
      <x:c r="M199" t="str">
        <x:v>Close-up realistic instructional DIY video: verify no bare copper extends outside a wire connector. Show inspection light working on wire connector. Hands visible, stable camera, no text overlay, neutral shop lighting. clipDescription='verify no bare copper extends outside a wire connector'. clipSummary='one practical repair step'. toolNames='inspection light'. suppliesNames='wire connector'. processTechnique='checking'. Safety cue: use normal homeowner precautions and avoid risky shortcuts.</x:v>
      </x:c>
      <x:c r="N199" s="14" t="n">
        <x:v>5</x:v>
      </x:c>
      <x:c r="O199" s="14" t="n">
        <x:v>100335</x:v>
      </x:c>
      <x:c r="P199" t="str">
        <x:v>R-D</x:v>
      </x:c>
      <x:c r="Q199" s="12" t="n">
        <x:v>3.66</x:v>
      </x:c>
      <x:c r="R199" s="12" t="n">
        <x:v>3.11</x:v>
      </x:c>
      <x:c r="S199" s="12" t="n">
        <x:v>3.07</x:v>
      </x:c>
      <x:c r="T199" s="12" t="n">
        <x:v>4</x:v>
      </x:c>
      <x:c r="U199" s="12" t="n">
        <x:v>3.52</x:v>
      </x:c>
      <x:c r="V199" s="12" t="n">
        <x:v>3.42</x:v>
      </x:c>
      <x:c r="W199" s="12" t="n">
        <x:f>ROUND((Q199*0.24)+(R199*0.22)+(S199*0.16)+(T199*0.18)+(U199*0.10)+(V199*0.10),2)</x:f>
        <x:v>3.47</x:v>
      </x:c>
      <x:c r="X199" t="str">
        <x:f>IF(W199&gt;=3.55,"Pass","Fail")</x:f>
        <x:v>Fail</x:v>
      </x:c>
      <x:c r="Y199" t="str">
        <x:v>camera blocks work</x:v>
      </x:c>
      <x:c r="Z199" t="str">
        <x:v>Human check: A reviewer would likely reject this. It may be visually attractive, but the tool/object relationship breaks during the important moment. The most important fix is to show the before-and-after state without a cut. For this electrical example, the main judgment is still whether the viewer can copy the motion.</x:v>
      </x:c>
      <x:c r="AA199" t="str">
        <x:v>Ask for a static close-up and require the inspection light to touch the wire connector before any motion starts.</x:v>
      </x:c>
      <x:c r="AB199" t="str">
        <x:v>High</x:v>
      </x:c>
      <x:c r="AC199" t="str"/>
      <x:c r="AD199" t="str">
        <x:v>Simulated pilot row for planning; replace with blinded ratings after generating actual clips.</x:v>
      </x:c>
    </x:row>
    <x:row r="200">
      <x:c r="A200" t="str">
        <x:v>S034-Veo-REF</x:v>
      </x:c>
      <x:c r="B200" t="str">
        <x:v>S034</x:v>
      </x:c>
      <x:c r="C200" t="str">
        <x:v>Electrical</x:v>
      </x:c>
      <x:c r="D200" t="str">
        <x:v>device wiring</x:v>
      </x:c>
      <x:c r="E200" t="str">
        <x:v>bending</x:v>
      </x:c>
      <x:c r="F200" t="n">
        <x:v>3</x:v>
      </x:c>
      <x:c r="G200" t="str">
        <x:v>bend a neat clockwise hook at the end of a wire</x:v>
      </x:c>
      <x:c r="H200" t="str">
        <x:v>needle-nose pliers</x:v>
      </x:c>
      <x:c r="I200" t="str">
        <x:v>copper conductor</x:v>
      </x:c>
      <x:c r="J200" t="str">
        <x:v>Veo 3.1</x:v>
      </x:c>
      <x:c r="K200" t="str">
        <x:v>Reference-Guided</x:v>
      </x:c>
      <x:c r="L200" t="str">
        <x:v>Adds reference-tool/image cue and brand-agnostic visual constraints.</x:v>
      </x:c>
      <x:c r="M200" t="str">
        <x:v>Close-up realistic instructional DIY video: bend a neat clockwise hook at the end of a wire. Show needle-nose pliers working on copper conductor. Hands visible, stable camera, no text overlay, neutral shop lighting. Use a generic, brand-agnostic visual reference for the needle-nose pliers; preserve the tool shape and scale; the needle-nose pliers must remain in contact with copper conductor during the key motion.</x:v>
      </x:c>
      <x:c r="N200" s="14" t="n">
        <x:v>8</x:v>
      </x:c>
      <x:c r="O200" s="14" t="n">
        <x:v>100340</x:v>
      </x:c>
      <x:c r="P200" t="str">
        <x:v>R-C</x:v>
      </x:c>
      <x:c r="Q200" s="12" t="n">
        <x:v>4.5</x:v>
      </x:c>
      <x:c r="R200" s="12" t="n">
        <x:v>4.36</x:v>
      </x:c>
      <x:c r="S200" s="12" t="n">
        <x:v>4.24</x:v>
      </x:c>
      <x:c r="T200" s="12" t="n">
        <x:v>4.65</x:v>
      </x:c>
      <x:c r="U200" s="12" t="n">
        <x:v>4.24</x:v>
      </x:c>
      <x:c r="V200" s="12" t="n">
        <x:v>4.35</x:v>
      </x:c>
      <x:c r="W200" s="12" t="n">
        <x:f>ROUND((Q200*0.24)+(R200*0.22)+(S200*0.16)+(T200*0.18)+(U200*0.10)+(V200*0.10),2)</x:f>
        <x:v>4.41</x:v>
      </x:c>
      <x:c r="X200" t="str">
        <x:f>IF(W200&gt;=3.55,"Pass","Fail")</x:f>
        <x:v>Pass</x:v>
      </x:c>
      <x:c r="Y200" t="str">
        <x:v>none</x:v>
      </x:c>
      <x:c r="Z200" t="str">
        <x:v>Rater note: Clear enough for a learner. The workpiece does not wander and the camera stays on the copper conductor; I would still add a freeze or caption after generation. On a small preview it might pass, but full-screen review exposes the issue. For this electrical example, the main judgment is still whether the viewer can copy the motion.</x:v>
      </x:c>
      <x:c r="AA200" t="str">
        <x:v>No immediate re-run; keep as candidate and verify with a second rater.</x:v>
      </x:c>
      <x:c r="AB200" t="str">
        <x:v>Medium</x:v>
      </x:c>
      <x:c r="AC200" t="str"/>
      <x:c r="AD200" t="str">
        <x:v>Planning dataset only; scores are plausible placeholders, not vendor claims.</x:v>
      </x:c>
    </x:row>
    <x:row r="201">
      <x:c r="A201" t="str">
        <x:v>S034-Sora-REF</x:v>
      </x:c>
      <x:c r="B201" t="str">
        <x:v>S034</x:v>
      </x:c>
      <x:c r="C201" t="str">
        <x:v>Electrical</x:v>
      </x:c>
      <x:c r="D201" t="str">
        <x:v>device wiring</x:v>
      </x:c>
      <x:c r="E201" t="str">
        <x:v>bending</x:v>
      </x:c>
      <x:c r="F201" t="n">
        <x:v>3</x:v>
      </x:c>
      <x:c r="G201" t="str">
        <x:v>bend a neat clockwise hook at the end of a wire</x:v>
      </x:c>
      <x:c r="H201" t="str">
        <x:v>needle-nose pliers</x:v>
      </x:c>
      <x:c r="I201" t="str">
        <x:v>copper conductor</x:v>
      </x:c>
      <x:c r="J201" t="str">
        <x:v>Sora 2 Pro</x:v>
      </x:c>
      <x:c r="K201" t="str">
        <x:v>Reference-Guided</x:v>
      </x:c>
      <x:c r="L201" t="str">
        <x:v>Adds reference-tool/image cue and brand-agnostic visual constraints.</x:v>
      </x:c>
      <x:c r="M201" t="str">
        <x:v>Close-up realistic instructional DIY video: bend a neat clockwise hook at the end of a wire. Show needle-nose pliers working on copper conductor. Hands visible, stable camera, no text overlay, neutral shop lighting. Use a generic, brand-agnostic visual reference for the needle-nose pliers; preserve the tool shape and scale; the needle-nose pliers must remain in contact with copper conductor during the key motion.</x:v>
      </x:c>
      <x:c r="N201" s="14" t="n">
        <x:v>8</x:v>
      </x:c>
      <x:c r="O201" s="14" t="n">
        <x:v>100341</x:v>
      </x:c>
      <x:c r="P201" t="str">
        <x:v>R-B</x:v>
      </x:c>
      <x:c r="Q201" s="12" t="n">
        <x:v>4.05</x:v>
      </x:c>
      <x:c r="R201" s="12" t="n">
        <x:v>3.72</x:v>
      </x:c>
      <x:c r="S201" s="12" t="n">
        <x:v>3.53</x:v>
      </x:c>
      <x:c r="T201" s="12" t="n">
        <x:v>3.68</x:v>
      </x:c>
      <x:c r="U201" s="12" t="n">
        <x:v>3.66</x:v>
      </x:c>
      <x:c r="V201" s="12" t="n">
        <x:v>4.35</x:v>
      </x:c>
      <x:c r="W201" s="12" t="n">
        <x:f>ROUND((Q201*0.24)+(R201*0.22)+(S201*0.16)+(T201*0.18)+(U201*0.10)+(V201*0.10),2)</x:f>
        <x:v>3.82</x:v>
      </x:c>
      <x:c r="X201" t="str">
        <x:f>IF(W201&gt;=3.55,"Pass","Fail")</x:f>
        <x:v>Pass</x:v>
      </x:c>
      <x:c r="Y201" t="str">
        <x:v>minor continuity jump</x:v>
      </x:c>
      <x:c r="Z201" t="str">
        <x:v>Human check: Usable, but I would not show it without review. The needle-nose pliers is recognizable, yet the exact contact point is hard to see when the hand crosses the frame. The issue is subtle visually, but it matters because the clip is supposed to teach the technique. For this electrical example, the main judgment is still whether the viewer can copy the motion.</x:v>
      </x:c>
      <x:c r="AA201" t="str">
        <x:v>Use sequential context only for continuity, not for adding previous/next steps into the frame.</x:v>
      </x:c>
      <x:c r="AB201" t="str">
        <x:v>High</x:v>
      </x:c>
      <x:c r="AC201" t="str"/>
      <x:c r="AD201" t="str">
        <x:v>Simulated pilot row for planning; replace with blinded ratings after generating actual clips.</x:v>
      </x:c>
    </x:row>
    <x:row r="202">
      <x:c r="A202" t="str">
        <x:v>S034-Runway-REF</x:v>
      </x:c>
      <x:c r="B202" t="str">
        <x:v>S034</x:v>
      </x:c>
      <x:c r="C202" t="str">
        <x:v>Electrical</x:v>
      </x:c>
      <x:c r="D202" t="str">
        <x:v>device wiring</x:v>
      </x:c>
      <x:c r="E202" t="str">
        <x:v>bending</x:v>
      </x:c>
      <x:c r="F202" t="n">
        <x:v>3</x:v>
      </x:c>
      <x:c r="G202" t="str">
        <x:v>bend a neat clockwise hook at the end of a wire</x:v>
      </x:c>
      <x:c r="H202" t="str">
        <x:v>needle-nose pliers</x:v>
      </x:c>
      <x:c r="I202" t="str">
        <x:v>copper conductor</x:v>
      </x:c>
      <x:c r="J202" t="str">
        <x:v>Runway Gen-4.5</x:v>
      </x:c>
      <x:c r="K202" t="str">
        <x:v>Reference-Guided</x:v>
      </x:c>
      <x:c r="L202" t="str">
        <x:v>Adds reference-tool/image cue and brand-agnostic visual constraints.</x:v>
      </x:c>
      <x:c r="M202" t="str">
        <x:v>Close-up realistic instructional DIY video: bend a neat clockwise hook at the end of a wire. Show needle-nose pliers working on copper conductor. Hands visible, stable camera, no text overlay, neutral shop lighting. Use a generic, brand-agnostic visual reference for the needle-nose pliers; preserve the tool shape and scale; the needle-nose pliers must remain in contact with copper conductor during the key motion.</x:v>
      </x:c>
      <x:c r="N202" s="14" t="n">
        <x:v>5</x:v>
      </x:c>
      <x:c r="O202" s="14" t="n">
        <x:v>100342</x:v>
      </x:c>
      <x:c r="P202" t="str">
        <x:v>R-E</x:v>
      </x:c>
      <x:c r="Q202" s="12" t="n">
        <x:v>4.16</x:v>
      </x:c>
      <x:c r="R202" s="12" t="n">
        <x:v>3.68</x:v>
      </x:c>
      <x:c r="S202" s="12" t="n">
        <x:v>3.94</x:v>
      </x:c>
      <x:c r="T202" s="12" t="n">
        <x:v>3.79</x:v>
      </x:c>
      <x:c r="U202" s="12" t="n">
        <x:v>4.23</x:v>
      </x:c>
      <x:c r="V202" s="12" t="n">
        <x:v>4.19</x:v>
      </x:c>
      <x:c r="W202" s="12" t="n">
        <x:f>ROUND((Q202*0.24)+(R202*0.22)+(S202*0.16)+(T202*0.18)+(U202*0.10)+(V202*0.10),2)</x:f>
        <x:v>3.96</x:v>
      </x:c>
      <x:c r="X202" t="str">
        <x:f>IF(W202&gt;=3.55,"Pass","Fail")</x:f>
        <x:v>Pass</x:v>
      </x:c>
      <x:c r="Y202" t="str">
        <x:v>contact point hidden</x:v>
      </x:c>
      <x:c r="Z202" t="str">
        <x:v>Review note: Usable, but I would not show it without review. The needle-nose pliers is recognizable, yet the exact contact point is hard to see when the hand crosses the frame. On a small preview it might pass, but full-screen review exposes the issue. For this electrical example, the main judgment is still whether the viewer can copy the motion.</x:v>
      </x:c>
      <x:c r="AA202" t="str">
        <x:v>Add a one-sentence end-state requirement: viewer must see the completed bending result for one full second.</x:v>
      </x:c>
      <x:c r="AB202" t="str">
        <x:v>High</x:v>
      </x:c>
      <x:c r="AC202" t="str"/>
      <x:c r="AD202" t="str">
        <x:v>Synthetic benchmark entry; generated clip URL should be filled after API run.</x:v>
      </x:c>
    </x:row>
    <x:row r="203">
      <x:c r="A203" t="str">
        <x:v>S034-Kling-REF</x:v>
      </x:c>
      <x:c r="B203" t="str">
        <x:v>S034</x:v>
      </x:c>
      <x:c r="C203" t="str">
        <x:v>Electrical</x:v>
      </x:c>
      <x:c r="D203" t="str">
        <x:v>device wiring</x:v>
      </x:c>
      <x:c r="E203" t="str">
        <x:v>bending</x:v>
      </x:c>
      <x:c r="F203" t="n">
        <x:v>3</x:v>
      </x:c>
      <x:c r="G203" t="str">
        <x:v>bend a neat clockwise hook at the end of a wire</x:v>
      </x:c>
      <x:c r="H203" t="str">
        <x:v>needle-nose pliers</x:v>
      </x:c>
      <x:c r="I203" t="str">
        <x:v>copper conductor</x:v>
      </x:c>
      <x:c r="J203" t="str">
        <x:v>Kling v3.0 (Replicate)</x:v>
      </x:c>
      <x:c r="K203" t="str">
        <x:v>Reference-Guided</x:v>
      </x:c>
      <x:c r="L203" t="str">
        <x:v>Adds reference-tool/image cue and brand-agnostic visual constraints.</x:v>
      </x:c>
      <x:c r="M203" t="str">
        <x:v>Close-up realistic instructional DIY video: bend a neat clockwise hook at the end of a wire. Show needle-nose pliers working on copper conductor. Hands visible, stable camera, no text overlay, neutral shop lighting. Use a generic, brand-agnostic visual reference for the needle-nose pliers; preserve the tool shape and scale; the needle-nose pliers must remain in contact with copper conductor during the key motion.</x:v>
      </x:c>
      <x:c r="N203" s="14" t="n">
        <x:v>10</x:v>
      </x:c>
      <x:c r="O203" s="14" t="n">
        <x:v>100343</x:v>
      </x:c>
      <x:c r="P203" t="str">
        <x:v>R-D</x:v>
      </x:c>
      <x:c r="Q203" s="12" t="n">
        <x:v>3.98</x:v>
      </x:c>
      <x:c r="R203" s="12" t="n">
        <x:v>3.42</x:v>
      </x:c>
      <x:c r="S203" s="12" t="n">
        <x:v>2.87</x:v>
      </x:c>
      <x:c r="T203" s="12" t="n">
        <x:v>3.76</x:v>
      </x:c>
      <x:c r="U203" s="12" t="n">
        <x:v>3.74</x:v>
      </x:c>
      <x:c r="V203" s="12" t="n">
        <x:v>3.71</x:v>
      </x:c>
      <x:c r="W203" s="12" t="n">
        <x:f>ROUND((Q203*0.24)+(R203*0.22)+(S203*0.16)+(T203*0.18)+(U203*0.10)+(V203*0.10),2)</x:f>
        <x:v>3.59</x:v>
      </x:c>
      <x:c r="X203" t="str">
        <x:f>IF(W203&gt;=3.55,"Pass","Fail")</x:f>
        <x:v>Pass</x:v>
      </x:c>
      <x:c r="Y203" t="str">
        <x:v>wrong grip on tool</x:v>
      </x:c>
      <x:c r="Z203" t="str">
        <x:v>Review note: Looks plausible at first glance. On a second pass, the copper conductor shifts slightly and the model seems to infer the outcome rather than show the full bending. I would keep the same camera angle but ask for a tighter view of the contact point. For this electrical example, the main judgment is still whether the viewer can copy the motion.</x:v>
      </x:c>
      <x:c r="AA203" t="str">
        <x:v>Move safety language earlier in the prompt and remove cinematic camera instructions.</x:v>
      </x:c>
      <x:c r="AB203" t="str">
        <x:v>Medium-High</x:v>
      </x:c>
      <x:c r="AC203" t="str"/>
      <x:c r="AD203" t="str">
        <x:v>Synthetic benchmark entry; generated clip URL should be filled after API run.</x:v>
      </x:c>
    </x:row>
    <x:row r="204">
      <x:c r="A204" t="str">
        <x:v>S034-Pika-REF</x:v>
      </x:c>
      <x:c r="B204" t="str">
        <x:v>S034</x:v>
      </x:c>
      <x:c r="C204" t="str">
        <x:v>Electrical</x:v>
      </x:c>
      <x:c r="D204" t="str">
        <x:v>device wiring</x:v>
      </x:c>
      <x:c r="E204" t="str">
        <x:v>bending</x:v>
      </x:c>
      <x:c r="F204" t="n">
        <x:v>3</x:v>
      </x:c>
      <x:c r="G204" t="str">
        <x:v>bend a neat clockwise hook at the end of a wire</x:v>
      </x:c>
      <x:c r="H204" t="str">
        <x:v>needle-nose pliers</x:v>
      </x:c>
      <x:c r="I204" t="str">
        <x:v>copper conductor</x:v>
      </x:c>
      <x:c r="J204" t="str">
        <x:v>Pika 2.2</x:v>
      </x:c>
      <x:c r="K204" t="str">
        <x:v>Reference-Guided</x:v>
      </x:c>
      <x:c r="L204" t="str">
        <x:v>Adds reference-tool/image cue and brand-agnostic visual constraints.</x:v>
      </x:c>
      <x:c r="M204" t="str">
        <x:v>Close-up realistic instructional DIY video: bend a neat clockwise hook at the end of a wire. Show needle-nose pliers working on copper conductor. Hands visible, stable camera, no text overlay, neutral shop lighting. Use a generic, brand-agnostic visual reference for the needle-nose pliers; preserve the tool shape and scale; the needle-nose pliers must remain in contact with copper conductor during the key motion.</x:v>
      </x:c>
      <x:c r="N204" s="14" t="n">
        <x:v>5</x:v>
      </x:c>
      <x:c r="O204" s="14" t="n">
        <x:v>100344</x:v>
      </x:c>
      <x:c r="P204" t="str">
        <x:v>R-C</x:v>
      </x:c>
      <x:c r="Q204" s="12" t="n">
        <x:v>4.02</x:v>
      </x:c>
      <x:c r="R204" s="12" t="n">
        <x:v>3.44</x:v>
      </x:c>
      <x:c r="S204" s="12" t="n">
        <x:v>3.11</x:v>
      </x:c>
      <x:c r="T204" s="12" t="n">
        <x:v>3.82</x:v>
      </x:c>
      <x:c r="U204" s="12" t="n">
        <x:v>3.74</x:v>
      </x:c>
      <x:c r="V204" s="12" t="n">
        <x:v>3.11</x:v>
      </x:c>
      <x:c r="W204" s="12" t="n">
        <x:f>ROUND((Q204*0.24)+(R204*0.22)+(S204*0.16)+(T204*0.18)+(U204*0.10)+(V204*0.10),2)</x:f>
        <x:v>3.59</x:v>
      </x:c>
      <x:c r="X204" t="str">
        <x:f>IF(W204&gt;=3.55,"Pass","Fail")</x:f>
        <x:v>Pass</x:v>
      </x:c>
      <x:c r="Y204" t="str">
        <x:v>wrong grip on tool</x:v>
      </x:c>
      <x:c r="Z204" t="str">
        <x:v>Rater note: The clip has the right ingredients but not quite the right mechanics. It needs a tighter prompt about grip, contact, and the end position. The issue is subtle visually, but it matters because the clip is supposed to teach the technique. For this electrical example, the main judgment is still whether the viewer can copy the motion.</x:v>
      </x:c>
      <x:c r="AA204" t="str">
        <x:v>Add a one-sentence end-state requirement: viewer must see the completed bending result for one full second.</x:v>
      </x:c>
      <x:c r="AB204" t="str">
        <x:v>High</x:v>
      </x:c>
      <x:c r="AC204" t="str"/>
      <x:c r="AD204" t="str">
        <x:v>Planning dataset only; scores are plausible placeholders, not vendor claims.</x:v>
      </x:c>
    </x:row>
    <x:row r="205">
      <x:c r="A205" t="str">
        <x:v>S034-Vidu-REF</x:v>
      </x:c>
      <x:c r="B205" t="str">
        <x:v>S034</x:v>
      </x:c>
      <x:c r="C205" t="str">
        <x:v>Electrical</x:v>
      </x:c>
      <x:c r="D205" t="str">
        <x:v>device wiring</x:v>
      </x:c>
      <x:c r="E205" t="str">
        <x:v>bending</x:v>
      </x:c>
      <x:c r="F205" t="n">
        <x:v>3</x:v>
      </x:c>
      <x:c r="G205" t="str">
        <x:v>bend a neat clockwise hook at the end of a wire</x:v>
      </x:c>
      <x:c r="H205" t="str">
        <x:v>needle-nose pliers</x:v>
      </x:c>
      <x:c r="I205" t="str">
        <x:v>copper conductor</x:v>
      </x:c>
      <x:c r="J205" t="str">
        <x:v>Vidu 2.0</x:v>
      </x:c>
      <x:c r="K205" t="str">
        <x:v>Reference-Guided</x:v>
      </x:c>
      <x:c r="L205" t="str">
        <x:v>Adds reference-tool/image cue and brand-agnostic visual constraints.</x:v>
      </x:c>
      <x:c r="M205" t="str">
        <x:v>Close-up realistic instructional DIY video: bend a neat clockwise hook at the end of a wire. Show needle-nose pliers working on copper conductor. Hands visible, stable camera, no text overlay, neutral shop lighting. Use a generic, brand-agnostic visual reference for the needle-nose pliers; preserve the tool shape and scale; the needle-nose pliers must remain in contact with copper conductor during the key motion.</x:v>
      </x:c>
      <x:c r="N205" s="14" t="n">
        <x:v>5</x:v>
      </x:c>
      <x:c r="O205" s="14" t="n">
        <x:v>100345</x:v>
      </x:c>
      <x:c r="P205" t="str">
        <x:v>R-B</x:v>
      </x:c>
      <x:c r="Q205" s="12" t="n">
        <x:v>3.97</x:v>
      </x:c>
      <x:c r="R205" s="12" t="n">
        <x:v>2.88</x:v>
      </x:c>
      <x:c r="S205" s="12" t="n">
        <x:v>3.52</x:v>
      </x:c>
      <x:c r="T205" s="12" t="n">
        <x:v>2.99</x:v>
      </x:c>
      <x:c r="U205" s="12" t="n">
        <x:v>3.01</x:v>
      </x:c>
      <x:c r="V205" s="12" t="n">
        <x:v>3.74</x:v>
      </x:c>
      <x:c r="W205" s="12" t="n">
        <x:f>ROUND((Q205*0.24)+(R205*0.22)+(S205*0.16)+(T205*0.18)+(U205*0.10)+(V205*0.10),2)</x:f>
        <x:v>3.36</x:v>
      </x:c>
      <x:c r="X205" t="str">
        <x:f>IF(W205&gt;=3.55,"Pass","Fail")</x:f>
        <x:v>Fail</x:v>
      </x:c>
      <x:c r="Y205" t="str">
        <x:v>material looks wrong</x:v>
      </x:c>
      <x:c r="Z205" t="str">
        <x:v>Clip review: A reviewer would likely reject this. It may be visually attractive, but the tool/object relationship breaks during the important moment. The most important fix is to show the before-and-after state without a cut. For this electrical example, the main judgment is still whether the viewer can copy the motion.</x:v>
      </x:c>
      <x:c r="AA205" t="str">
        <x:v>Use sequential context only for continuity, not for adding previous/next steps into the frame.</x:v>
      </x:c>
      <x:c r="AB205" t="str">
        <x:v>High</x:v>
      </x:c>
      <x:c r="AC205" t="str"/>
      <x:c r="AD205" t="str">
        <x:v>Mock rater record for experiment design; audit against real video outputs before publication.</x:v>
      </x:c>
    </x:row>
    <x:row r="206">
      <x:c r="A206" t="str">
        <x:v>S035-Veo-SEQ</x:v>
      </x:c>
      <x:c r="B206" t="str">
        <x:v>S035</x:v>
      </x:c>
      <x:c r="C206" t="str">
        <x:v>Electrical</x:v>
      </x:c>
      <x:c r="D206" t="str">
        <x:v>lighting</x:v>
      </x:c>
      <x:c r="E206" t="str">
        <x:v>placing</x:v>
      </x:c>
      <x:c r="F206" t="n">
        <x:v>3</x:v>
      </x:c>
      <x:c r="G206" t="str">
        <x:v>seat a ceiling canopy against the mounting bracket</x:v>
      </x:c>
      <x:c r="H206" t="str">
        <x:v>canopy</x:v>
      </x:c>
      <x:c r="I206" t="str">
        <x:v>ceiling bracket</x:v>
      </x:c>
      <x:c r="J206" t="str">
        <x:v>Veo 3.1</x:v>
      </x:c>
      <x:c r="K206" t="str">
        <x:v>Sequential Context</x:v>
      </x:c>
      <x:c r="L206" t="str">
        <x:v>Provides previous and next step for continuity without asking for them to appear.</x:v>
      </x:c>
      <x:c r="M206" t="str">
        <x:v>Close-up realistic instructional DIY video: seat a ceiling canopy against the mounting bracket. Show canopy working on ceiling bracket. Hands visible, stable camera, no text overlay, neutral shop lighting. This is the middle clip in a sequence. Previous step has already prepared the work area; next step will verify the result. Keep the same workpiece, camera distance, and hand orientation.</x:v>
      </x:c>
      <x:c r="N206" s="14" t="n">
        <x:v>8</x:v>
      </x:c>
      <x:c r="O206" s="14" t="n">
        <x:v>100350</x:v>
      </x:c>
      <x:c r="P206" t="str">
        <x:v>R-B</x:v>
      </x:c>
      <x:c r="Q206" s="12" t="n">
        <x:v>3.75</x:v>
      </x:c>
      <x:c r="R206" s="12" t="n">
        <x:v>4.32</x:v>
      </x:c>
      <x:c r="S206" s="12" t="n">
        <x:v>4.87</x:v>
      </x:c>
      <x:c r="T206" s="12" t="n">
        <x:v>4.39</x:v>
      </x:c>
      <x:c r="U206" s="12" t="n">
        <x:v>3.98</x:v>
      </x:c>
      <x:c r="V206" s="12" t="n">
        <x:v>4.38</x:v>
      </x:c>
      <x:c r="W206" s="12" t="n">
        <x:f>ROUND((Q206*0.24)+(R206*0.22)+(S206*0.16)+(T206*0.18)+(U206*0.10)+(V206*0.10),2)</x:f>
        <x:v>4.26</x:v>
      </x:c>
      <x:c r="X206" t="str">
        <x:f>IF(W206&gt;=3.55,"Pass","Fail")</x:f>
        <x:v>Pass</x:v>
      </x:c>
      <x:c r="Y206" t="str">
        <x:v>none</x:v>
      </x:c>
      <x:c r="Z206" t="str">
        <x:v>Clip review: The clip feels like a usable shop-demo take. I can see the hand position and the ceiling bracket; it just needs a slightly longer hold on the final state. On a small preview it might pass, but full-screen review exposes the issue. Continuity is useful here, but it cannot replace showing the actual contact point.</x:v>
      </x:c>
      <x:c r="AA206" t="str">
        <x:v>No immediate re-run; keep as candidate and verify with a second rater.</x:v>
      </x:c>
      <x:c r="AB206" t="str">
        <x:v>Medium</x:v>
      </x:c>
      <x:c r="AC206" t="str"/>
      <x:c r="AD206" t="str">
        <x:v>Simulated pilot row for planning; replace with blinded ratings after generating actual clips.</x:v>
      </x:c>
    </x:row>
    <x:row r="207">
      <x:c r="A207" t="str">
        <x:v>S035-Sora-SEQ</x:v>
      </x:c>
      <x:c r="B207" t="str">
        <x:v>S035</x:v>
      </x:c>
      <x:c r="C207" t="str">
        <x:v>Electrical</x:v>
      </x:c>
      <x:c r="D207" t="str">
        <x:v>lighting</x:v>
      </x:c>
      <x:c r="E207" t="str">
        <x:v>placing</x:v>
      </x:c>
      <x:c r="F207" t="n">
        <x:v>3</x:v>
      </x:c>
      <x:c r="G207" t="str">
        <x:v>seat a ceiling canopy against the mounting bracket</x:v>
      </x:c>
      <x:c r="H207" t="str">
        <x:v>canopy</x:v>
      </x:c>
      <x:c r="I207" t="str">
        <x:v>ceiling bracket</x:v>
      </x:c>
      <x:c r="J207" t="str">
        <x:v>Sora 2 Pro</x:v>
      </x:c>
      <x:c r="K207" t="str">
        <x:v>Sequential Context</x:v>
      </x:c>
      <x:c r="L207" t="str">
        <x:v>Provides previous and next step for continuity without asking for them to appear.</x:v>
      </x:c>
      <x:c r="M207" t="str">
        <x:v>Close-up realistic instructional DIY video: seat a ceiling canopy against the mounting bracket. Show canopy working on ceiling bracket. Hands visible, stable camera, no text overlay, neutral shop lighting. This is the middle clip in a sequence. Previous step has already prepared the work area; next step will verify the result. Keep the same workpiece, camera distance, and hand orientation.</x:v>
      </x:c>
      <x:c r="N207" s="14" t="n">
        <x:v>8</x:v>
      </x:c>
      <x:c r="O207" s="14" t="n">
        <x:v>100351</x:v>
      </x:c>
      <x:c r="P207" t="str">
        <x:v>R-A</x:v>
      </x:c>
      <x:c r="Q207" s="12" t="n">
        <x:v>4.47</x:v>
      </x:c>
      <x:c r="R207" s="12" t="n">
        <x:v>3.96</x:v>
      </x:c>
      <x:c r="S207" s="12" t="n">
        <x:v>4</x:v>
      </x:c>
      <x:c r="T207" s="12" t="n">
        <x:v>4.14</x:v>
      </x:c>
      <x:c r="U207" s="12" t="n">
        <x:v>4.22</x:v>
      </x:c>
      <x:c r="V207" s="12" t="n">
        <x:v>4.61</x:v>
      </x:c>
      <x:c r="W207" s="12" t="n">
        <x:f>ROUND((Q207*0.24)+(R207*0.22)+(S207*0.16)+(T207*0.18)+(U207*0.10)+(V207*0.10),2)</x:f>
        <x:v>4.21</x:v>
      </x:c>
      <x:c r="X207" t="str">
        <x:f>IF(W207&gt;=3.55,"Pass","Fail")</x:f>
        <x:v>Pass</x:v>
      </x:c>
      <x:c r="Y207" t="str">
        <x:v>motion slightly compressed</x:v>
      </x:c>
      <x:c r="Z207" t="str">
        <x:v>Review note: Good continuity from frame to frame. The canopy makes visual contact with the workpiece and the motion does not feel invented. The most important fix is to show the before-and-after state without a cut. Continuity is useful here, but it cannot replace showing the actual contact point.</x:v>
      </x:c>
      <x:c r="AA207" t="str">
        <x:v>Move safety language earlier in the prompt and remove cinematic camera instructions.</x:v>
      </x:c>
      <x:c r="AB207" t="str">
        <x:v>High</x:v>
      </x:c>
      <x:c r="AC207" t="str"/>
      <x:c r="AD207" t="str">
        <x:v>Mock rater record for experiment design; audit against real video outputs before publication.</x:v>
      </x:c>
    </x:row>
    <x:row r="208">
      <x:c r="A208" t="str">
        <x:v>S035-Runway-SEQ</x:v>
      </x:c>
      <x:c r="B208" t="str">
        <x:v>S035</x:v>
      </x:c>
      <x:c r="C208" t="str">
        <x:v>Electrical</x:v>
      </x:c>
      <x:c r="D208" t="str">
        <x:v>lighting</x:v>
      </x:c>
      <x:c r="E208" t="str">
        <x:v>placing</x:v>
      </x:c>
      <x:c r="F208" t="n">
        <x:v>3</x:v>
      </x:c>
      <x:c r="G208" t="str">
        <x:v>seat a ceiling canopy against the mounting bracket</x:v>
      </x:c>
      <x:c r="H208" t="str">
        <x:v>canopy</x:v>
      </x:c>
      <x:c r="I208" t="str">
        <x:v>ceiling bracket</x:v>
      </x:c>
      <x:c r="J208" t="str">
        <x:v>Runway Gen-4.5</x:v>
      </x:c>
      <x:c r="K208" t="str">
        <x:v>Sequential Context</x:v>
      </x:c>
      <x:c r="L208" t="str">
        <x:v>Provides previous and next step for continuity without asking for them to appear.</x:v>
      </x:c>
      <x:c r="M208" t="str">
        <x:v>Close-up realistic instructional DIY video: seat a ceiling canopy against the mounting bracket. Show canopy working on ceiling bracket. Hands visible, stable camera, no text overlay, neutral shop lighting. This is the middle clip in a sequence. Previous step has already prepared the work area; next step will verify the result. Keep the same workpiece, camera distance, and hand orientation.</x:v>
      </x:c>
      <x:c r="N208" s="14" t="n">
        <x:v>5</x:v>
      </x:c>
      <x:c r="O208" s="14" t="n">
        <x:v>100352</x:v>
      </x:c>
      <x:c r="P208" t="str">
        <x:v>R-B</x:v>
      </x:c>
      <x:c r="Q208" s="12" t="n">
        <x:v>3.52</x:v>
      </x:c>
      <x:c r="R208" s="12" t="n">
        <x:v>4.28</x:v>
      </x:c>
      <x:c r="S208" s="12" t="n">
        <x:v>4.08</x:v>
      </x:c>
      <x:c r="T208" s="12" t="n">
        <x:v>4.15</x:v>
      </x:c>
      <x:c r="U208" s="12" t="n">
        <x:v>3.39</x:v>
      </x:c>
      <x:c r="V208" s="12" t="n">
        <x:v>4.59</x:v>
      </x:c>
      <x:c r="W208" s="12" t="n">
        <x:f>ROUND((Q208*0.24)+(R208*0.22)+(S208*0.16)+(T208*0.18)+(U208*0.10)+(V208*0.10),2)</x:f>
        <x:v>3.98</x:v>
      </x:c>
      <x:c r="X208" t="str">
        <x:f>IF(W208&gt;=3.55,"Pass","Fail")</x:f>
        <x:v>Pass</x:v>
      </x:c>
      <x:c r="Y208" t="str">
        <x:v>contact point hidden</x:v>
      </x:c>
      <x:c r="Z208" t="str">
        <x:v>QA note: Usable, but I would not show it without review. The canopy is recognizable, yet the exact contact point is hard to see when the hand crosses the frame. The prompt should prioritize hand path over cinematic lighting. Continuity is useful here, but it cannot replace showing the actual contact point.</x:v>
      </x:c>
      <x:c r="AA208" t="str">
        <x:v>Ask for a static close-up and require the canopy to touch the ceiling bracket before any motion starts.</x:v>
      </x:c>
      <x:c r="AB208" t="str">
        <x:v>Medium</x:v>
      </x:c>
      <x:c r="AC208" t="str"/>
      <x:c r="AD208" t="str">
        <x:v>Synthetic benchmark entry; generated clip URL should be filled after API run.</x:v>
      </x:c>
    </x:row>
    <x:row r="209">
      <x:c r="A209" t="str">
        <x:v>S035-Kling-SEQ</x:v>
      </x:c>
      <x:c r="B209" t="str">
        <x:v>S035</x:v>
      </x:c>
      <x:c r="C209" t="str">
        <x:v>Electrical</x:v>
      </x:c>
      <x:c r="D209" t="str">
        <x:v>lighting</x:v>
      </x:c>
      <x:c r="E209" t="str">
        <x:v>placing</x:v>
      </x:c>
      <x:c r="F209" t="n">
        <x:v>3</x:v>
      </x:c>
      <x:c r="G209" t="str">
        <x:v>seat a ceiling canopy against the mounting bracket</x:v>
      </x:c>
      <x:c r="H209" t="str">
        <x:v>canopy</x:v>
      </x:c>
      <x:c r="I209" t="str">
        <x:v>ceiling bracket</x:v>
      </x:c>
      <x:c r="J209" t="str">
        <x:v>Kling v3.0 (Replicate)</x:v>
      </x:c>
      <x:c r="K209" t="str">
        <x:v>Sequential Context</x:v>
      </x:c>
      <x:c r="L209" t="str">
        <x:v>Provides previous and next step for continuity without asking for them to appear.</x:v>
      </x:c>
      <x:c r="M209" t="str">
        <x:v>Close-up realistic instructional DIY video: seat a ceiling canopy against the mounting bracket. Show canopy working on ceiling bracket. Hands visible, stable camera, no text overlay, neutral shop lighting. This is the middle clip in a sequence. Previous step has already prepared the work area; next step will verify the result. Keep the same workpiece, camera distance, and hand orientation.</x:v>
      </x:c>
      <x:c r="N209" s="14" t="n">
        <x:v>10</x:v>
      </x:c>
      <x:c r="O209" s="14" t="n">
        <x:v>100353</x:v>
      </x:c>
      <x:c r="P209" t="str">
        <x:v>R-A</x:v>
      </x:c>
      <x:c r="Q209" s="12" t="n">
        <x:v>4.05</x:v>
      </x:c>
      <x:c r="R209" s="12" t="n">
        <x:v>3.73</x:v>
      </x:c>
      <x:c r="S209" s="12" t="n">
        <x:v>3.51</x:v>
      </x:c>
      <x:c r="T209" s="12" t="n">
        <x:v>4.43</x:v>
      </x:c>
      <x:c r="U209" s="12" t="n">
        <x:v>3.96</x:v>
      </x:c>
      <x:c r="V209" s="12" t="n">
        <x:v>3.78</x:v>
      </x:c>
      <x:c r="W209" s="12" t="n">
        <x:f>ROUND((Q209*0.24)+(R209*0.22)+(S209*0.16)+(T209*0.18)+(U209*0.10)+(V209*0.10),2)</x:f>
        <x:v>3.93</x:v>
      </x:c>
      <x:c r="X209" t="str">
        <x:f>IF(W209&gt;=3.55,"Pass","Fail")</x:f>
        <x:v>Pass</x:v>
      </x:c>
      <x:c r="Y209" t="str">
        <x:v>endpoint not visible</x:v>
      </x:c>
      <x:c r="Z209" t="str">
        <x:v>Rater note: The clip has the right ingredients but not quite the right mechanics. It needs a tighter prompt about grip, contact, and the end position. The issue is subtle visually, but it matters because the clip is supposed to teach the technique. Continuity is useful here, but it cannot replace showing the actual contact point.</x:v>
      </x:c>
      <x:c r="AA209" t="str">
        <x:v>Use a reference image for the canopy and specify its grip/orientation in plain language.</x:v>
      </x:c>
      <x:c r="AB209" t="str">
        <x:v>Medium-High</x:v>
      </x:c>
      <x:c r="AC209" t="str"/>
      <x:c r="AD209" t="str">
        <x:v>Planning dataset only; scores are plausible placeholders, not vendor claims.</x:v>
      </x:c>
    </x:row>
    <x:row r="210">
      <x:c r="A210" t="str">
        <x:v>S035-Pika-SEQ</x:v>
      </x:c>
      <x:c r="B210" t="str">
        <x:v>S035</x:v>
      </x:c>
      <x:c r="C210" t="str">
        <x:v>Electrical</x:v>
      </x:c>
      <x:c r="D210" t="str">
        <x:v>lighting</x:v>
      </x:c>
      <x:c r="E210" t="str">
        <x:v>placing</x:v>
      </x:c>
      <x:c r="F210" t="n">
        <x:v>3</x:v>
      </x:c>
      <x:c r="G210" t="str">
        <x:v>seat a ceiling canopy against the mounting bracket</x:v>
      </x:c>
      <x:c r="H210" t="str">
        <x:v>canopy</x:v>
      </x:c>
      <x:c r="I210" t="str">
        <x:v>ceiling bracket</x:v>
      </x:c>
      <x:c r="J210" t="str">
        <x:v>Pika 2.2</x:v>
      </x:c>
      <x:c r="K210" t="str">
        <x:v>Sequential Context</x:v>
      </x:c>
      <x:c r="L210" t="str">
        <x:v>Provides previous and next step for continuity without asking for them to appear.</x:v>
      </x:c>
      <x:c r="M210" t="str">
        <x:v>Close-up realistic instructional DIY video: seat a ceiling canopy against the mounting bracket. Show canopy working on ceiling bracket. Hands visible, stable camera, no text overlay, neutral shop lighting. This is the middle clip in a sequence. Previous step has already prepared the work area; next step will verify the result. Keep the same workpiece, camera distance, and hand orientation.</x:v>
      </x:c>
      <x:c r="N210" s="14" t="n">
        <x:v>5</x:v>
      </x:c>
      <x:c r="O210" s="14" t="n">
        <x:v>100354</x:v>
      </x:c>
      <x:c r="P210" t="str">
        <x:v>R-A</x:v>
      </x:c>
      <x:c r="Q210" s="12" t="n">
        <x:v>3.63</x:v>
      </x:c>
      <x:c r="R210" s="12" t="n">
        <x:v>4.14</x:v>
      </x:c>
      <x:c r="S210" s="12" t="n">
        <x:v>3.71</x:v>
      </x:c>
      <x:c r="T210" s="12" t="n">
        <x:v>3.61</x:v>
      </x:c>
      <x:c r="U210" s="12" t="n">
        <x:v>3.45</x:v>
      </x:c>
      <x:c r="V210" s="12" t="n">
        <x:v>3.31</x:v>
      </x:c>
      <x:c r="W210" s="12" t="n">
        <x:f>ROUND((Q210*0.24)+(R210*0.22)+(S210*0.16)+(T210*0.18)+(U210*0.10)+(V210*0.10),2)</x:f>
        <x:v>3.7</x:v>
      </x:c>
      <x:c r="X210" t="str">
        <x:f>IF(W210&gt;=3.55,"Pass","Fail")</x:f>
        <x:v>Pass</x:v>
      </x:c>
      <x:c r="Y210" t="str">
        <x:v>action starts too late</x:v>
      </x:c>
      <x:c r="Z210" t="str">
        <x:v>Human check: I would keep this as a rough candidate. It communicates the step, although the failure mode makes it weaker than a real sourced clip: action starts too late. On a small preview it might pass, but full-screen review exposes the issue. Continuity is useful here, but it cannot replace showing the actual contact point.</x:v>
      </x:c>
      <x:c r="AA210" t="str">
        <x:v>Move safety language earlier in the prompt and remove cinematic camera instructions.</x:v>
      </x:c>
      <x:c r="AB210" t="str">
        <x:v>Medium-High</x:v>
      </x:c>
      <x:c r="AC210" t="str"/>
      <x:c r="AD210" t="str">
        <x:v>Simulated pilot row for planning; replace with blinded ratings after generating actual clips.</x:v>
      </x:c>
    </x:row>
    <x:row r="211">
      <x:c r="A211" t="str">
        <x:v>S035-Vidu-SEQ</x:v>
      </x:c>
      <x:c r="B211" t="str">
        <x:v>S035</x:v>
      </x:c>
      <x:c r="C211" t="str">
        <x:v>Electrical</x:v>
      </x:c>
      <x:c r="D211" t="str">
        <x:v>lighting</x:v>
      </x:c>
      <x:c r="E211" t="str">
        <x:v>placing</x:v>
      </x:c>
      <x:c r="F211" t="n">
        <x:v>3</x:v>
      </x:c>
      <x:c r="G211" t="str">
        <x:v>seat a ceiling canopy against the mounting bracket</x:v>
      </x:c>
      <x:c r="H211" t="str">
        <x:v>canopy</x:v>
      </x:c>
      <x:c r="I211" t="str">
        <x:v>ceiling bracket</x:v>
      </x:c>
      <x:c r="J211" t="str">
        <x:v>Vidu 2.0</x:v>
      </x:c>
      <x:c r="K211" t="str">
        <x:v>Sequential Context</x:v>
      </x:c>
      <x:c r="L211" t="str">
        <x:v>Provides previous and next step for continuity without asking for them to appear.</x:v>
      </x:c>
      <x:c r="M211" t="str">
        <x:v>Close-up realistic instructional DIY video: seat a ceiling canopy against the mounting bracket. Show canopy working on ceiling bracket. Hands visible, stable camera, no text overlay, neutral shop lighting. This is the middle clip in a sequence. Previous step has already prepared the work area; next step will verify the result. Keep the same workpiece, camera distance, and hand orientation.</x:v>
      </x:c>
      <x:c r="N211" s="14" t="n">
        <x:v>5</x:v>
      </x:c>
      <x:c r="O211" s="14" t="n">
        <x:v>100355</x:v>
      </x:c>
      <x:c r="P211" t="str">
        <x:v>R-D</x:v>
      </x:c>
      <x:c r="Q211" s="12" t="n">
        <x:v>3.13</x:v>
      </x:c>
      <x:c r="R211" s="12" t="n">
        <x:v>3.15</x:v>
      </x:c>
      <x:c r="S211" s="12" t="n">
        <x:v>3.98</x:v>
      </x:c>
      <x:c r="T211" s="12" t="n">
        <x:v>2.42</x:v>
      </x:c>
      <x:c r="U211" s="12" t="n">
        <x:v>2.6</x:v>
      </x:c>
      <x:c r="V211" s="12" t="n">
        <x:v>3.78</x:v>
      </x:c>
      <x:c r="W211" s="12" t="n">
        <x:f>ROUND((Q211*0.24)+(R211*0.22)+(S211*0.16)+(T211*0.18)+(U211*0.10)+(V211*0.10),2)</x:f>
        <x:v>3.15</x:v>
      </x:c>
      <x:c r="X211" t="str">
        <x:f>IF(W211&gt;=3.55,"Pass","Fail")</x:f>
        <x:v>Fail</x:v>
      </x:c>
      <x:c r="Y211" t="str">
        <x:v>missing contact point</x:v>
      </x:c>
      <x:c r="Z211" t="str">
        <x:v>Human check: This should fail the instructional bar. The model gestures toward the task, but the failure mode prevents a learner from trusting the technique: missing contact point. This reads better as a teaser than as an instructional clip. Continuity is useful here, but it cannot replace showing the actual contact point.</x:v>
      </x:c>
      <x:c r="AA211" t="str">
        <x:v>Ask for a static close-up and require the canopy to touch the ceiling bracket before any motion starts.</x:v>
      </x:c>
      <x:c r="AB211" t="str">
        <x:v>Medium-High</x:v>
      </x:c>
      <x:c r="AC211" t="str"/>
      <x:c r="AD211" t="str">
        <x:v>Planning dataset only; scores are plausible placeholders, not vendor claims.</x:v>
      </x:c>
    </x:row>
    <x:row r="212">
      <x:c r="A212" t="str">
        <x:v>S036-Veo-CON</x:v>
      </x:c>
      <x:c r="B212" t="str">
        <x:v>S036</x:v>
      </x:c>
      <x:c r="C212" t="str">
        <x:v>Electrical</x:v>
      </x:c>
      <x:c r="D212" t="str">
        <x:v>fixture install</x:v>
      </x:c>
      <x:c r="E212" t="str">
        <x:v>tightening</x:v>
      </x:c>
      <x:c r="F212" t="n">
        <x:v>4</x:v>
      </x:c>
      <x:c r="G212" t="str">
        <x:v>tighten a wire connector until both conductors pull together</x:v>
      </x:c>
      <x:c r="H212" t="str">
        <x:v>wire connector</x:v>
      </x:c>
      <x:c r="I212" t="str">
        <x:v>two fixture conductors</x:v>
      </x:c>
      <x:c r="J212" t="str">
        <x:v>Veo 3.1</x:v>
      </x:c>
      <x:c r="K212" t="str">
        <x:v>Constraint-Rich Negative Prompt</x:v>
      </x:c>
      <x:c r="L212" t="str">
        <x:v>Adds concise no-floating-tools/no-extra-objects/no-morphing constraints.</x:v>
      </x:c>
      <x:c r="M212" t="str">
        <x:v>Close-up realistic instructional DIY video: tighten a wire connector until both conductors pull together. Show wire connector working on two fixture conductors. Hands visible, stable camera, no text overlay, neutral shop lighting. Constraints: no floating tools, no extra tools, no morphing hands, no reversed motion, no impossible deformation, no dramatic camera spin. Keep the full action legible.</x:v>
      </x:c>
      <x:c r="N212" s="14" t="n">
        <x:v>8</x:v>
      </x:c>
      <x:c r="O212" s="14" t="n">
        <x:v>100360</x:v>
      </x:c>
      <x:c r="P212" t="str">
        <x:v>R-E</x:v>
      </x:c>
      <x:c r="Q212" s="12" t="n">
        <x:v>3.99</x:v>
      </x:c>
      <x:c r="R212" s="12" t="n">
        <x:v>4.16</x:v>
      </x:c>
      <x:c r="S212" s="12" t="n">
        <x:v>4.06</x:v>
      </x:c>
      <x:c r="T212" s="12" t="n">
        <x:v>4.45</x:v>
      </x:c>
      <x:c r="U212" s="12" t="n">
        <x:v>4.05</x:v>
      </x:c>
      <x:c r="V212" s="12" t="n">
        <x:v>4.33</x:v>
      </x:c>
      <x:c r="W212" s="12" t="n">
        <x:f>ROUND((Q212*0.24)+(R212*0.22)+(S212*0.16)+(T212*0.18)+(U212*0.10)+(V212*0.10),2)</x:f>
        <x:v>4.16</x:v>
      </x:c>
      <x:c r="X212" t="str">
        <x:f>IF(W212&gt;=3.55,"Pass","Fail")</x:f>
        <x:v>Pass</x:v>
      </x:c>
      <x:c r="Y212" t="str">
        <x:v>minor continuity jump</x:v>
      </x:c>
      <x:c r="Z212" t="str">
        <x:v>Human check: Clear enough for a learner. The workpiece does not wander and the camera stays on the two fixture conductors; I would still add a freeze or caption after generation. This reads better as a teaser than as an instructional clip. The negative constraints help, but they do not fully solve the mechanics.</x:v>
      </x:c>
      <x:c r="AA212" t="str">
        <x:v>Use a reference image for the wire connector and specify its grip/orientation in plain language.</x:v>
      </x:c>
      <x:c r="AB212" t="str">
        <x:v>Medium-High</x:v>
      </x:c>
      <x:c r="AC212" t="str"/>
      <x:c r="AD212" t="str">
        <x:v>Synthetic benchmark entry; generated clip URL should be filled after API run.</x:v>
      </x:c>
    </x:row>
    <x:row r="213">
      <x:c r="A213" t="str">
        <x:v>S036-Sora-CON</x:v>
      </x:c>
      <x:c r="B213" t="str">
        <x:v>S036</x:v>
      </x:c>
      <x:c r="C213" t="str">
        <x:v>Electrical</x:v>
      </x:c>
      <x:c r="D213" t="str">
        <x:v>fixture install</x:v>
      </x:c>
      <x:c r="E213" t="str">
        <x:v>tightening</x:v>
      </x:c>
      <x:c r="F213" t="n">
        <x:v>4</x:v>
      </x:c>
      <x:c r="G213" t="str">
        <x:v>tighten a wire connector until both conductors pull together</x:v>
      </x:c>
      <x:c r="H213" t="str">
        <x:v>wire connector</x:v>
      </x:c>
      <x:c r="I213" t="str">
        <x:v>two fixture conductors</x:v>
      </x:c>
      <x:c r="J213" t="str">
        <x:v>Sora 2 Pro</x:v>
      </x:c>
      <x:c r="K213" t="str">
        <x:v>Constraint-Rich Negative Prompt</x:v>
      </x:c>
      <x:c r="L213" t="str">
        <x:v>Adds concise no-floating-tools/no-extra-objects/no-morphing constraints.</x:v>
      </x:c>
      <x:c r="M213" t="str">
        <x:v>Close-up realistic instructional DIY video: tighten a wire connector until both conductors pull together. Show wire connector working on two fixture conductors. Hands visible, stable camera, no text overlay, neutral shop lighting. Constraints: no floating tools, no extra tools, no morphing hands, no reversed motion, no impossible deformation, no dramatic camera spin. Keep the full action legible.</x:v>
      </x:c>
      <x:c r="N213" s="14" t="n">
        <x:v>8</x:v>
      </x:c>
      <x:c r="O213" s="14" t="n">
        <x:v>100361</x:v>
      </x:c>
      <x:c r="P213" t="str">
        <x:v>R-E</x:v>
      </x:c>
      <x:c r="Q213" s="12" t="n">
        <x:v>3.59</x:v>
      </x:c>
      <x:c r="R213" s="12" t="n">
        <x:v>4.01</x:v>
      </x:c>
      <x:c r="S213" s="12" t="n">
        <x:v>3.64</x:v>
      </x:c>
      <x:c r="T213" s="12" t="n">
        <x:v>3.88</x:v>
      </x:c>
      <x:c r="U213" s="12" t="n">
        <x:v>4.16</x:v>
      </x:c>
      <x:c r="V213" s="12" t="n">
        <x:v>4.01</x:v>
      </x:c>
      <x:c r="W213" s="12" t="n">
        <x:f>ROUND((Q213*0.24)+(R213*0.22)+(S213*0.16)+(T213*0.18)+(U213*0.10)+(V213*0.10),2)</x:f>
        <x:v>3.84</x:v>
      </x:c>
      <x:c r="X213" t="str">
        <x:f>IF(W213&gt;=3.55,"Pass","Fail")</x:f>
        <x:v>Pass</x:v>
      </x:c>
      <x:c r="Y213" t="str">
        <x:v>motion slightly compressed</x:v>
      </x:c>
      <x:c r="Z213" t="str">
        <x:v>Rater note: The intention is clear, especially if you already know the step. A novice might miss the key detail because this issue appears right where the action should be most explicit: motion slightly compressed. I would keep the same camera angle but ask for a tighter view of the contact point. The negative constraints help, but they do not fully solve the mechanics.</x:v>
      </x:c>
      <x:c r="AA213" t="str">
        <x:v>Ask for a static close-up and require the wire connector to touch the two fixture conductors before any motion starts.</x:v>
      </x:c>
      <x:c r="AB213" t="str">
        <x:v>High</x:v>
      </x:c>
      <x:c r="AC213" t="str"/>
      <x:c r="AD213" t="str">
        <x:v>Mock rater record for experiment design; audit against real video outputs before publication.</x:v>
      </x:c>
    </x:row>
    <x:row r="214">
      <x:c r="A214" t="str">
        <x:v>S036-Runway-CON</x:v>
      </x:c>
      <x:c r="B214" t="str">
        <x:v>S036</x:v>
      </x:c>
      <x:c r="C214" t="str">
        <x:v>Electrical</x:v>
      </x:c>
      <x:c r="D214" t="str">
        <x:v>fixture install</x:v>
      </x:c>
      <x:c r="E214" t="str">
        <x:v>tightening</x:v>
      </x:c>
      <x:c r="F214" t="n">
        <x:v>4</x:v>
      </x:c>
      <x:c r="G214" t="str">
        <x:v>tighten a wire connector until both conductors pull together</x:v>
      </x:c>
      <x:c r="H214" t="str">
        <x:v>wire connector</x:v>
      </x:c>
      <x:c r="I214" t="str">
        <x:v>two fixture conductors</x:v>
      </x:c>
      <x:c r="J214" t="str">
        <x:v>Runway Gen-4.5</x:v>
      </x:c>
      <x:c r="K214" t="str">
        <x:v>Constraint-Rich Negative Prompt</x:v>
      </x:c>
      <x:c r="L214" t="str">
        <x:v>Adds concise no-floating-tools/no-extra-objects/no-morphing constraints.</x:v>
      </x:c>
      <x:c r="M214" t="str">
        <x:v>Close-up realistic instructional DIY video: tighten a wire connector until both conductors pull together. Show wire connector working on two fixture conductors. Hands visible, stable camera, no text overlay, neutral shop lighting. Constraints: no floating tools, no extra tools, no morphing hands, no reversed motion, no impossible deformation, no dramatic camera spin. Keep the full action legible.</x:v>
      </x:c>
      <x:c r="N214" s="14" t="n">
        <x:v>5</x:v>
      </x:c>
      <x:c r="O214" s="14" t="n">
        <x:v>100362</x:v>
      </x:c>
      <x:c r="P214" t="str">
        <x:v>R-B</x:v>
      </x:c>
      <x:c r="Q214" s="12" t="n">
        <x:v>3.63</x:v>
      </x:c>
      <x:c r="R214" s="12" t="n">
        <x:v>3.34</x:v>
      </x:c>
      <x:c r="S214" s="12" t="n">
        <x:v>4.29</x:v>
      </x:c>
      <x:c r="T214" s="12" t="n">
        <x:v>3.77</x:v>
      </x:c>
      <x:c r="U214" s="12" t="n">
        <x:v>3.49</x:v>
      </x:c>
      <x:c r="V214" s="12" t="n">
        <x:v>4.62</x:v>
      </x:c>
      <x:c r="W214" s="12" t="n">
        <x:f>ROUND((Q214*0.24)+(R214*0.22)+(S214*0.16)+(T214*0.18)+(U214*0.10)+(V214*0.10),2)</x:f>
        <x:v>3.78</x:v>
      </x:c>
      <x:c r="X214" t="str">
        <x:f>IF(W214&gt;=3.55,"Pass","Fail")</x:f>
        <x:v>Pass</x:v>
      </x:c>
      <x:c r="Y214" t="str">
        <x:v>minor continuity jump</x:v>
      </x:c>
      <x:c r="Z214" t="str">
        <x:v>Clip review: The clip has the right ingredients but not quite the right mechanics. It needs a tighter prompt about grip, contact, and the end position. The next prompt should slow the final second instead of adding more scene detail. The negative constraints help, but they do not fully solve the mechanics.</x:v>
      </x:c>
      <x:c r="AA214" t="str">
        <x:v>Use a reference image for the wire connector and specify its grip/orientation in plain language.</x:v>
      </x:c>
      <x:c r="AB214" t="str">
        <x:v>Medium-High</x:v>
      </x:c>
      <x:c r="AC214" t="str"/>
      <x:c r="AD214" t="str">
        <x:v>Synthetic benchmark entry; generated clip URL should be filled after API run.</x:v>
      </x:c>
    </x:row>
    <x:row r="215">
      <x:c r="A215" t="str">
        <x:v>S036-Kling-CON</x:v>
      </x:c>
      <x:c r="B215" t="str">
        <x:v>S036</x:v>
      </x:c>
      <x:c r="C215" t="str">
        <x:v>Electrical</x:v>
      </x:c>
      <x:c r="D215" t="str">
        <x:v>fixture install</x:v>
      </x:c>
      <x:c r="E215" t="str">
        <x:v>tightening</x:v>
      </x:c>
      <x:c r="F215" t="n">
        <x:v>4</x:v>
      </x:c>
      <x:c r="G215" t="str">
        <x:v>tighten a wire connector until both conductors pull together</x:v>
      </x:c>
      <x:c r="H215" t="str">
        <x:v>wire connector</x:v>
      </x:c>
      <x:c r="I215" t="str">
        <x:v>two fixture conductors</x:v>
      </x:c>
      <x:c r="J215" t="str">
        <x:v>Kling v3.0 (Replicate)</x:v>
      </x:c>
      <x:c r="K215" t="str">
        <x:v>Constraint-Rich Negative Prompt</x:v>
      </x:c>
      <x:c r="L215" t="str">
        <x:v>Adds concise no-floating-tools/no-extra-objects/no-morphing constraints.</x:v>
      </x:c>
      <x:c r="M215" t="str">
        <x:v>Close-up realistic instructional DIY video: tighten a wire connector until both conductors pull together. Show wire connector working on two fixture conductors. Hands visible, stable camera, no text overlay, neutral shop lighting. Constraints: no floating tools, no extra tools, no morphing hands, no reversed motion, no impossible deformation, no dramatic camera spin. Keep the full action legible.</x:v>
      </x:c>
      <x:c r="N215" s="14" t="n">
        <x:v>10</x:v>
      </x:c>
      <x:c r="O215" s="14" t="n">
        <x:v>100363</x:v>
      </x:c>
      <x:c r="P215" t="str">
        <x:v>R-C</x:v>
      </x:c>
      <x:c r="Q215" s="12" t="n">
        <x:v>3.02</x:v>
      </x:c>
      <x:c r="R215" s="12" t="n">
        <x:v>3.42</x:v>
      </x:c>
      <x:c r="S215" s="12" t="n">
        <x:v>4</x:v>
      </x:c>
      <x:c r="T215" s="12" t="n">
        <x:v>3.29</x:v>
      </x:c>
      <x:c r="U215" s="12" t="n">
        <x:v>3.83</x:v>
      </x:c>
      <x:c r="V215" s="12" t="n">
        <x:v>3.9</x:v>
      </x:c>
      <x:c r="W215" s="12" t="n">
        <x:f>ROUND((Q215*0.24)+(R215*0.22)+(S215*0.16)+(T215*0.18)+(U215*0.10)+(V215*0.10),2)</x:f>
        <x:v>3.48</x:v>
      </x:c>
      <x:c r="X215" t="str">
        <x:f>IF(W215&gt;=3.55,"Pass","Fail")</x:f>
        <x:v>Fail</x:v>
      </x:c>
      <x:c r="Y215" t="str">
        <x:v>wrong grip on tool</x:v>
      </x:c>
      <x:c r="Z215" t="str">
        <x:v>Review note: The clip looks like generic DIY stock footage rather than this specific step. The main problem is wrong grip on tool, and the end state is not verifiable. The clip needs a verifier pass before it can enter the training pool. The negative constraints help, but they do not fully solve the mechanics.</x:v>
      </x:c>
      <x:c r="AA215" t="str">
        <x:v>Use a reference image for the wire connector and specify its grip/orientation in plain language.</x:v>
      </x:c>
      <x:c r="AB215" t="str">
        <x:v>Medium</x:v>
      </x:c>
      <x:c r="AC215" t="str"/>
      <x:c r="AD215" t="str">
        <x:v>Mock rater record for experiment design; audit against real video outputs before publication.</x:v>
      </x:c>
    </x:row>
    <x:row r="216">
      <x:c r="A216" t="str">
        <x:v>S036-Pika-CON</x:v>
      </x:c>
      <x:c r="B216" t="str">
        <x:v>S036</x:v>
      </x:c>
      <x:c r="C216" t="str">
        <x:v>Electrical</x:v>
      </x:c>
      <x:c r="D216" t="str">
        <x:v>fixture install</x:v>
      </x:c>
      <x:c r="E216" t="str">
        <x:v>tightening</x:v>
      </x:c>
      <x:c r="F216" t="n">
        <x:v>4</x:v>
      </x:c>
      <x:c r="G216" t="str">
        <x:v>tighten a wire connector until both conductors pull together</x:v>
      </x:c>
      <x:c r="H216" t="str">
        <x:v>wire connector</x:v>
      </x:c>
      <x:c r="I216" t="str">
        <x:v>two fixture conductors</x:v>
      </x:c>
      <x:c r="J216" t="str">
        <x:v>Pika 2.2</x:v>
      </x:c>
      <x:c r="K216" t="str">
        <x:v>Constraint-Rich Negative Prompt</x:v>
      </x:c>
      <x:c r="L216" t="str">
        <x:v>Adds concise no-floating-tools/no-extra-objects/no-morphing constraints.</x:v>
      </x:c>
      <x:c r="M216" t="str">
        <x:v>Close-up realistic instructional DIY video: tighten a wire connector until both conductors pull together. Show wire connector working on two fixture conductors. Hands visible, stable camera, no text overlay, neutral shop lighting. Constraints: no floating tools, no extra tools, no morphing hands, no reversed motion, no impossible deformation, no dramatic camera spin. Keep the full action legible.</x:v>
      </x:c>
      <x:c r="N216" s="14" t="n">
        <x:v>5</x:v>
      </x:c>
      <x:c r="O216" s="14" t="n">
        <x:v>100364</x:v>
      </x:c>
      <x:c r="P216" t="str">
        <x:v>R-D</x:v>
      </x:c>
      <x:c r="Q216" s="12" t="n">
        <x:v>3.2</x:v>
      </x:c>
      <x:c r="R216" s="12" t="n">
        <x:v>3.24</x:v>
      </x:c>
      <x:c r="S216" s="12" t="n">
        <x:v>3.37</x:v>
      </x:c>
      <x:c r="T216" s="12" t="n">
        <x:v>3.49</x:v>
      </x:c>
      <x:c r="U216" s="12" t="n">
        <x:v>3.23</x:v>
      </x:c>
      <x:c r="V216" s="12" t="n">
        <x:v>3.14</x:v>
      </x:c>
      <x:c r="W216" s="12" t="n">
        <x:f>ROUND((Q216*0.24)+(R216*0.22)+(S216*0.16)+(T216*0.18)+(U216*0.10)+(V216*0.10),2)</x:f>
        <x:v>3.29</x:v>
      </x:c>
      <x:c r="X216" t="str">
        <x:f>IF(W216&gt;=3.55,"Pass","Fail")</x:f>
        <x:v>Fail</x:v>
      </x:c>
      <x:c r="Y216" t="str">
        <x:v>material looks wrong</x:v>
      </x:c>
      <x:c r="Z216" t="str">
        <x:v>Rater note: The clip looks like generic DIY stock footage rather than this specific step. The main problem is material looks wrong, and the end state is not verifiable. The mistake appears late, so a simple thumbnail review would probably miss it. The negative constraints help, but they do not fully solve the mechanics.</x:v>
      </x:c>
      <x:c r="AA216" t="str">
        <x:v>Specify the exact contact point and do not allow the hand to cover it.</x:v>
      </x:c>
      <x:c r="AB216" t="str">
        <x:v>Medium</x:v>
      </x:c>
      <x:c r="AC216" t="str"/>
      <x:c r="AD216" t="str">
        <x:v>Planning dataset only; scores are plausible placeholders, not vendor claims.</x:v>
      </x:c>
    </x:row>
    <x:row r="217">
      <x:c r="A217" t="str">
        <x:v>S036-Vidu-CON</x:v>
      </x:c>
      <x:c r="B217" t="str">
        <x:v>S036</x:v>
      </x:c>
      <x:c r="C217" t="str">
        <x:v>Electrical</x:v>
      </x:c>
      <x:c r="D217" t="str">
        <x:v>fixture install</x:v>
      </x:c>
      <x:c r="E217" t="str">
        <x:v>tightening</x:v>
      </x:c>
      <x:c r="F217" t="n">
        <x:v>4</x:v>
      </x:c>
      <x:c r="G217" t="str">
        <x:v>tighten a wire connector until both conductors pull together</x:v>
      </x:c>
      <x:c r="H217" t="str">
        <x:v>wire connector</x:v>
      </x:c>
      <x:c r="I217" t="str">
        <x:v>two fixture conductors</x:v>
      </x:c>
      <x:c r="J217" t="str">
        <x:v>Vidu 2.0</x:v>
      </x:c>
      <x:c r="K217" t="str">
        <x:v>Constraint-Rich Negative Prompt</x:v>
      </x:c>
      <x:c r="L217" t="str">
        <x:v>Adds concise no-floating-tools/no-extra-objects/no-morphing constraints.</x:v>
      </x:c>
      <x:c r="M217" t="str">
        <x:v>Close-up realistic instructional DIY video: tighten a wire connector until both conductors pull together. Show wire connector working on two fixture conductors. Hands visible, stable camera, no text overlay, neutral shop lighting. Constraints: no floating tools, no extra tools, no morphing hands, no reversed motion, no impossible deformation, no dramatic camera spin. Keep the full action legible.</x:v>
      </x:c>
      <x:c r="N217" s="14" t="n">
        <x:v>5</x:v>
      </x:c>
      <x:c r="O217" s="14" t="n">
        <x:v>100365</x:v>
      </x:c>
      <x:c r="P217" t="str">
        <x:v>R-E</x:v>
      </x:c>
      <x:c r="Q217" s="12" t="n">
        <x:v>3.32</x:v>
      </x:c>
      <x:c r="R217" s="12" t="n">
        <x:v>3.43</x:v>
      </x:c>
      <x:c r="S217" s="12" t="n">
        <x:v>3.09</x:v>
      </x:c>
      <x:c r="T217" s="12" t="n">
        <x:v>2.46</x:v>
      </x:c>
      <x:c r="U217" s="12" t="n">
        <x:v>3.32</x:v>
      </x:c>
      <x:c r="V217" s="12" t="n">
        <x:v>2.58</x:v>
      </x:c>
      <x:c r="W217" s="12" t="n">
        <x:f>ROUND((Q217*0.24)+(R217*0.22)+(S217*0.16)+(T217*0.18)+(U217*0.10)+(V217*0.10),2)</x:f>
        <x:v>3.08</x:v>
      </x:c>
      <x:c r="X217" t="str">
        <x:f>IF(W217&gt;=3.55,"Pass","Fail")</x:f>
        <x:v>Fail</x:v>
      </x:c>
      <x:c r="Y217" t="str">
        <x:v>sequence reversed</x:v>
      </x:c>
      <x:c r="Z217" t="str">
        <x:v>QA note: The clip looks like generic DIY stock footage rather than this specific step. The main problem is sequence reversed, and the end state is not verifiable. The mistake appears late, so a simple thumbnail review would probably miss it. The negative constraints help, but they do not fully solve the mechanics.</x:v>
      </x:c>
      <x:c r="AA217" t="str">
        <x:v>Break the action into start, contact, movement, and finish; ban extra tools and hand morphing.</x:v>
      </x:c>
      <x:c r="AB217" t="str">
        <x:v>Medium-High</x:v>
      </x:c>
      <x:c r="AC217" t="str"/>
      <x:c r="AD217" t="str">
        <x:v>Synthetic benchmark entry; generated clip URL should be filled after API run.</x:v>
      </x:c>
    </x:row>
    <x:row r="218">
      <x:c r="A218" t="str">
        <x:v>S037-Veo-DIR</x:v>
      </x:c>
      <x:c r="B218" t="str">
        <x:v>S037</x:v>
      </x:c>
      <x:c r="C218" t="str">
        <x:v>Electrical</x:v>
      </x:c>
      <x:c r="D218" t="str">
        <x:v>low voltage</x:v>
      </x:c>
      <x:c r="E218" t="str">
        <x:v>inserting</x:v>
      </x:c>
      <x:c r="F218" t="n">
        <x:v>2</x:v>
      </x:c>
      <x:c r="G218" t="str">
        <x:v>insert thermostat wire into the R terminal slot</x:v>
      </x:c>
      <x:c r="H218" t="str">
        <x:v>small screwdriver</x:v>
      </x:c>
      <x:c r="I218" t="str">
        <x:v>thermostat terminal block</x:v>
      </x:c>
      <x:c r="J218" t="str">
        <x:v>Veo 3.1</x:v>
      </x:c>
      <x:c r="K218" t="str">
        <x:v>Direct Natural Language</x:v>
      </x:c>
      <x:c r="L218" t="str">
        <x:v>Baseline wording only; no explicit decomposition.</x:v>
      </x:c>
      <x:c r="M218" t="str">
        <x:v>Close-up realistic instructional DIY video: insert thermostat wire into the R terminal slot. Show small screwdriver working on thermostat terminal block. Hands visible, stable camera, no text overlay, neutral shop lighting.</x:v>
      </x:c>
      <x:c r="N218" s="14" t="n">
        <x:v>8</x:v>
      </x:c>
      <x:c r="O218" s="14" t="n">
        <x:v>100370</x:v>
      </x:c>
      <x:c r="P218" t="str">
        <x:v>R-B</x:v>
      </x:c>
      <x:c r="Q218" s="12" t="n">
        <x:v>4.48</x:v>
      </x:c>
      <x:c r="R218" s="12" t="n">
        <x:v>3.98</x:v>
      </x:c>
      <x:c r="S218" s="12" t="n">
        <x:v>4.24</x:v>
      </x:c>
      <x:c r="T218" s="12" t="n">
        <x:v>4.12</x:v>
      </x:c>
      <x:c r="U218" s="12" t="n">
        <x:v>4.32</x:v>
      </x:c>
      <x:c r="V218" s="12" t="n">
        <x:v>4.09</x:v>
      </x:c>
      <x:c r="W218" s="12" t="n">
        <x:f>ROUND((Q218*0.24)+(R218*0.22)+(S218*0.16)+(T218*0.18)+(U218*0.10)+(V218*0.10),2)</x:f>
        <x:v>4.21</x:v>
      </x:c>
      <x:c r="X218" t="str">
        <x:f>IF(W218&gt;=3.55,"Pass","Fail")</x:f>
        <x:v>Pass</x:v>
      </x:c>
      <x:c r="Y218" t="str">
        <x:v>tool pose a little soft</x:v>
      </x:c>
      <x:c r="Z218" t="str">
        <x:v>Human check: Clear enough for a learner. The workpiece does not wander and the camera stays on the thermostat terminal block; I would still add a freeze or caption after generation. The mistake appears late, so a simple thumbnail review would probably miss it. For this electrical example, the main judgment is still whether the viewer can copy the motion.</x:v>
      </x:c>
      <x:c r="AA218" t="str">
        <x:v>Use sequential context only for continuity, not for adding previous/next steps into the frame.</x:v>
      </x:c>
      <x:c r="AB218" t="str">
        <x:v>Medium-High</x:v>
      </x:c>
      <x:c r="AC218" t="str"/>
      <x:c r="AD218" t="str">
        <x:v>Mock rater record for experiment design; audit against real video outputs before publication.</x:v>
      </x:c>
    </x:row>
    <x:row r="219">
      <x:c r="A219" t="str">
        <x:v>S037-Sora-DIR</x:v>
      </x:c>
      <x:c r="B219" t="str">
        <x:v>S037</x:v>
      </x:c>
      <x:c r="C219" t="str">
        <x:v>Electrical</x:v>
      </x:c>
      <x:c r="D219" t="str">
        <x:v>low voltage</x:v>
      </x:c>
      <x:c r="E219" t="str">
        <x:v>inserting</x:v>
      </x:c>
      <x:c r="F219" t="n">
        <x:v>2</x:v>
      </x:c>
      <x:c r="G219" t="str">
        <x:v>insert thermostat wire into the R terminal slot</x:v>
      </x:c>
      <x:c r="H219" t="str">
        <x:v>small screwdriver</x:v>
      </x:c>
      <x:c r="I219" t="str">
        <x:v>thermostat terminal block</x:v>
      </x:c>
      <x:c r="J219" t="str">
        <x:v>Sora 2 Pro</x:v>
      </x:c>
      <x:c r="K219" t="str">
        <x:v>Direct Natural Language</x:v>
      </x:c>
      <x:c r="L219" t="str">
        <x:v>Baseline wording only; no explicit decomposition.</x:v>
      </x:c>
      <x:c r="M219" t="str">
        <x:v>Close-up realistic instructional DIY video: insert thermostat wire into the R terminal slot. Show small screwdriver working on thermostat terminal block. Hands visible, stable camera, no text overlay, neutral shop lighting.</x:v>
      </x:c>
      <x:c r="N219" s="14" t="n">
        <x:v>8</x:v>
      </x:c>
      <x:c r="O219" s="14" t="n">
        <x:v>100371</x:v>
      </x:c>
      <x:c r="P219" t="str">
        <x:v>R-E</x:v>
      </x:c>
      <x:c r="Q219" s="12" t="n">
        <x:v>4.33</x:v>
      </x:c>
      <x:c r="R219" s="12" t="n">
        <x:v>3.65</x:v>
      </x:c>
      <x:c r="S219" s="12" t="n">
        <x:v>4.48</x:v>
      </x:c>
      <x:c r="T219" s="12" t="n">
        <x:v>3.84</x:v>
      </x:c>
      <x:c r="U219" s="12" t="n">
        <x:v>3.63</x:v>
      </x:c>
      <x:c r="V219" s="12" t="n">
        <x:v>4.21</x:v>
      </x:c>
      <x:c r="W219" s="12" t="n">
        <x:f>ROUND((Q219*0.24)+(R219*0.22)+(S219*0.16)+(T219*0.18)+(U219*0.10)+(V219*0.10),2)</x:f>
        <x:v>4.03</x:v>
      </x:c>
      <x:c r="X219" t="str">
        <x:f>IF(W219&gt;=3.55,"Pass","Fail")</x:f>
        <x:v>Pass</x:v>
      </x:c>
      <x:c r="Y219" t="str">
        <x:v>minor continuity jump</x:v>
      </x:c>
      <x:c r="Z219" t="str">
        <x:v>Review note: The intention is clear, especially if you already know the step. A novice might miss the key detail because this issue appears right where the action should be most explicit: minor continuity jump. This would be safer as a reference-aided run than a text-only run. For this electrical example, the main judgment is still whether the viewer can copy the motion.</x:v>
      </x:c>
      <x:c r="AA219" t="str">
        <x:v>Break the action into start, contact, movement, and finish; ban extra tools and hand morphing.</x:v>
      </x:c>
      <x:c r="AB219" t="str">
        <x:v>High</x:v>
      </x:c>
      <x:c r="AC219" t="str"/>
      <x:c r="AD219" t="str">
        <x:v>Mock rater record for experiment design; audit against real video outputs before publication.</x:v>
      </x:c>
    </x:row>
    <x:row r="220">
      <x:c r="A220" t="str">
        <x:v>S037-Runway-DIR</x:v>
      </x:c>
      <x:c r="B220" t="str">
        <x:v>S037</x:v>
      </x:c>
      <x:c r="C220" t="str">
        <x:v>Electrical</x:v>
      </x:c>
      <x:c r="D220" t="str">
        <x:v>low voltage</x:v>
      </x:c>
      <x:c r="E220" t="str">
        <x:v>inserting</x:v>
      </x:c>
      <x:c r="F220" t="n">
        <x:v>2</x:v>
      </x:c>
      <x:c r="G220" t="str">
        <x:v>insert thermostat wire into the R terminal slot</x:v>
      </x:c>
      <x:c r="H220" t="str">
        <x:v>small screwdriver</x:v>
      </x:c>
      <x:c r="I220" t="str">
        <x:v>thermostat terminal block</x:v>
      </x:c>
      <x:c r="J220" t="str">
        <x:v>Runway Gen-4.5</x:v>
      </x:c>
      <x:c r="K220" t="str">
        <x:v>Direct Natural Language</x:v>
      </x:c>
      <x:c r="L220" t="str">
        <x:v>Baseline wording only; no explicit decomposition.</x:v>
      </x:c>
      <x:c r="M220" t="str">
        <x:v>Close-up realistic instructional DIY video: insert thermostat wire into the R terminal slot. Show small screwdriver working on thermostat terminal block. Hands visible, stable camera, no text overlay, neutral shop lighting.</x:v>
      </x:c>
      <x:c r="N220" s="14" t="n">
        <x:v>5</x:v>
      </x:c>
      <x:c r="O220" s="14" t="n">
        <x:v>100372</x:v>
      </x:c>
      <x:c r="P220" t="str">
        <x:v>R-A</x:v>
      </x:c>
      <x:c r="Q220" s="12" t="n">
        <x:v>4.54</x:v>
      </x:c>
      <x:c r="R220" s="12" t="n">
        <x:v>3.68</x:v>
      </x:c>
      <x:c r="S220" s="12" t="n">
        <x:v>4.43</x:v>
      </x:c>
      <x:c r="T220" s="12" t="n">
        <x:v>4.02</x:v>
      </x:c>
      <x:c r="U220" s="12" t="n">
        <x:v>2.98</x:v>
      </x:c>
      <x:c r="V220" s="12" t="n">
        <x:v>3.69</x:v>
      </x:c>
      <x:c r="W220" s="12" t="n">
        <x:f>ROUND((Q220*0.24)+(R220*0.22)+(S220*0.16)+(T220*0.18)+(U220*0.10)+(V220*0.10),2)</x:f>
        <x:v>4</x:v>
      </x:c>
      <x:c r="X220" t="str">
        <x:f>IF(W220&gt;=3.55,"Pass","Fail")</x:f>
        <x:v>Pass</x:v>
      </x:c>
      <x:c r="Y220" t="str">
        <x:v>motion slightly compressed</x:v>
      </x:c>
      <x:c r="Z220" t="str">
        <x:v>Clip review: The clip has the right ingredients but not quite the right mechanics. It needs a tighter prompt about grip, contact, and the end position. The clip needs a verifier pass before it can enter the training pool. For this electrical example, the main judgment is still whether the viewer can copy the motion.</x:v>
      </x:c>
      <x:c r="AA220" t="str">
        <x:v>Use sequential context only for continuity, not for adding previous/next steps into the frame.</x:v>
      </x:c>
      <x:c r="AB220" t="str">
        <x:v>High</x:v>
      </x:c>
      <x:c r="AC220" t="str"/>
      <x:c r="AD220" t="str">
        <x:v>Simulated pilot row for planning; replace with blinded ratings after generating actual clips.</x:v>
      </x:c>
    </x:row>
    <x:row r="221">
      <x:c r="A221" t="str">
        <x:v>S037-Kling-DIR</x:v>
      </x:c>
      <x:c r="B221" t="str">
        <x:v>S037</x:v>
      </x:c>
      <x:c r="C221" t="str">
        <x:v>Electrical</x:v>
      </x:c>
      <x:c r="D221" t="str">
        <x:v>low voltage</x:v>
      </x:c>
      <x:c r="E221" t="str">
        <x:v>inserting</x:v>
      </x:c>
      <x:c r="F221" t="n">
        <x:v>2</x:v>
      </x:c>
      <x:c r="G221" t="str">
        <x:v>insert thermostat wire into the R terminal slot</x:v>
      </x:c>
      <x:c r="H221" t="str">
        <x:v>small screwdriver</x:v>
      </x:c>
      <x:c r="I221" t="str">
        <x:v>thermostat terminal block</x:v>
      </x:c>
      <x:c r="J221" t="str">
        <x:v>Kling v3.0 (Replicate)</x:v>
      </x:c>
      <x:c r="K221" t="str">
        <x:v>Direct Natural Language</x:v>
      </x:c>
      <x:c r="L221" t="str">
        <x:v>Baseline wording only; no explicit decomposition.</x:v>
      </x:c>
      <x:c r="M221" t="str">
        <x:v>Close-up realistic instructional DIY video: insert thermostat wire into the R terminal slot. Show small screwdriver working on thermostat terminal block. Hands visible, stable camera, no text overlay, neutral shop lighting.</x:v>
      </x:c>
      <x:c r="N221" s="14" t="n">
        <x:v>10</x:v>
      </x:c>
      <x:c r="O221" s="14" t="n">
        <x:v>100373</x:v>
      </x:c>
      <x:c r="P221" t="str">
        <x:v>R-E</x:v>
      </x:c>
      <x:c r="Q221" s="12" t="n">
        <x:v>3.77</x:v>
      </x:c>
      <x:c r="R221" s="12" t="n">
        <x:v>3.53</x:v>
      </x:c>
      <x:c r="S221" s="12" t="n">
        <x:v>3.96</x:v>
      </x:c>
      <x:c r="T221" s="12" t="n">
        <x:v>3.67</x:v>
      </x:c>
      <x:c r="U221" s="12" t="n">
        <x:v>3.55</x:v>
      </x:c>
      <x:c r="V221" s="12" t="n">
        <x:v>3.72</x:v>
      </x:c>
      <x:c r="W221" s="12" t="n">
        <x:f>ROUND((Q221*0.24)+(R221*0.22)+(S221*0.16)+(T221*0.18)+(U221*0.10)+(V221*0.10),2)</x:f>
        <x:v>3.7</x:v>
      </x:c>
      <x:c r="X221" t="str">
        <x:f>IF(W221&gt;=3.55,"Pass","Fail")</x:f>
        <x:v>Pass</x:v>
      </x:c>
      <x:c r="Y221" t="str">
        <x:v>action starts too late</x:v>
      </x:c>
      <x:c r="Z221" t="str">
        <x:v>QA note: The intention is clear, especially if you already know the step. A novice might miss the key detail because this issue appears right where the action should be most explicit: action starts too late. This would be safer as a reference-aided run than a text-only run. The baseline prompt is likely under-specifying the tool path.</x:v>
      </x:c>
      <x:c r="AA221" t="str">
        <x:v>Use sequential context only for continuity, not for adding previous/next steps into the frame.</x:v>
      </x:c>
      <x:c r="AB221" t="str">
        <x:v>Medium</x:v>
      </x:c>
      <x:c r="AC221" t="str"/>
      <x:c r="AD221" t="str">
        <x:v>Planning dataset only; scores are plausible placeholders, not vendor claims.</x:v>
      </x:c>
    </x:row>
    <x:row r="222">
      <x:c r="A222" t="str">
        <x:v>S037-Pika-DIR</x:v>
      </x:c>
      <x:c r="B222" t="str">
        <x:v>S037</x:v>
      </x:c>
      <x:c r="C222" t="str">
        <x:v>Electrical</x:v>
      </x:c>
      <x:c r="D222" t="str">
        <x:v>low voltage</x:v>
      </x:c>
      <x:c r="E222" t="str">
        <x:v>inserting</x:v>
      </x:c>
      <x:c r="F222" t="n">
        <x:v>2</x:v>
      </x:c>
      <x:c r="G222" t="str">
        <x:v>insert thermostat wire into the R terminal slot</x:v>
      </x:c>
      <x:c r="H222" t="str">
        <x:v>small screwdriver</x:v>
      </x:c>
      <x:c r="I222" t="str">
        <x:v>thermostat terminal block</x:v>
      </x:c>
      <x:c r="J222" t="str">
        <x:v>Pika 2.2</x:v>
      </x:c>
      <x:c r="K222" t="str">
        <x:v>Direct Natural Language</x:v>
      </x:c>
      <x:c r="L222" t="str">
        <x:v>Baseline wording only; no explicit decomposition.</x:v>
      </x:c>
      <x:c r="M222" t="str">
        <x:v>Close-up realistic instructional DIY video: insert thermostat wire into the R terminal slot. Show small screwdriver working on thermostat terminal block. Hands visible, stable camera, no text overlay, neutral shop lighting.</x:v>
      </x:c>
      <x:c r="N222" s="14" t="n">
        <x:v>5</x:v>
      </x:c>
      <x:c r="O222" s="14" t="n">
        <x:v>100374</x:v>
      </x:c>
      <x:c r="P222" t="str">
        <x:v>R-D</x:v>
      </x:c>
      <x:c r="Q222" s="12" t="n">
        <x:v>2.78</x:v>
      </x:c>
      <x:c r="R222" s="12" t="n">
        <x:v>3.45</x:v>
      </x:c>
      <x:c r="S222" s="12" t="n">
        <x:v>3.38</x:v>
      </x:c>
      <x:c r="T222" s="12" t="n">
        <x:v>3.62</x:v>
      </x:c>
      <x:c r="U222" s="12" t="n">
        <x:v>3.58</x:v>
      </x:c>
      <x:c r="V222" s="12" t="n">
        <x:v>3.41</x:v>
      </x:c>
      <x:c r="W222" s="12" t="n">
        <x:f>ROUND((Q222*0.24)+(R222*0.22)+(S222*0.16)+(T222*0.18)+(U222*0.10)+(V222*0.10),2)</x:f>
        <x:v>3.32</x:v>
      </x:c>
      <x:c r="X222" t="str">
        <x:f>IF(W222&gt;=3.55,"Pass","Fail")</x:f>
        <x:v>Fail</x:v>
      </x:c>
      <x:c r="Y222" t="str">
        <x:v>object morphs</x:v>
      </x:c>
      <x:c r="Z222" t="str">
        <x:v>Clip review: The clip looks like generic DIY stock footage rather than this specific step. The main problem is object morphs, and the end state is not verifiable. I would keep the same camera angle but ask for a tighter view of the contact point. The baseline prompt is likely under-specifying the tool path.</x:v>
      </x:c>
      <x:c r="AA222" t="str">
        <x:v>Use a reference image for the small screwdriver and specify its grip/orientation in plain language.</x:v>
      </x:c>
      <x:c r="AB222" t="str">
        <x:v>Medium-High</x:v>
      </x:c>
      <x:c r="AC222" t="str"/>
      <x:c r="AD222" t="str">
        <x:v>Planning dataset only; scores are plausible placeholders, not vendor claims.</x:v>
      </x:c>
    </x:row>
    <x:row r="223">
      <x:c r="A223" t="str">
        <x:v>S037-Vidu-DIR</x:v>
      </x:c>
      <x:c r="B223" t="str">
        <x:v>S037</x:v>
      </x:c>
      <x:c r="C223" t="str">
        <x:v>Electrical</x:v>
      </x:c>
      <x:c r="D223" t="str">
        <x:v>low voltage</x:v>
      </x:c>
      <x:c r="E223" t="str">
        <x:v>inserting</x:v>
      </x:c>
      <x:c r="F223" t="n">
        <x:v>2</x:v>
      </x:c>
      <x:c r="G223" t="str">
        <x:v>insert thermostat wire into the R terminal slot</x:v>
      </x:c>
      <x:c r="H223" t="str">
        <x:v>small screwdriver</x:v>
      </x:c>
      <x:c r="I223" t="str">
        <x:v>thermostat terminal block</x:v>
      </x:c>
      <x:c r="J223" t="str">
        <x:v>Vidu 2.0</x:v>
      </x:c>
      <x:c r="K223" t="str">
        <x:v>Direct Natural Language</x:v>
      </x:c>
      <x:c r="L223" t="str">
        <x:v>Baseline wording only; no explicit decomposition.</x:v>
      </x:c>
      <x:c r="M223" t="str">
        <x:v>Close-up realistic instructional DIY video: insert thermostat wire into the R terminal slot. Show small screwdriver working on thermostat terminal block. Hands visible, stable camera, no text overlay, neutral shop lighting.</x:v>
      </x:c>
      <x:c r="N223" s="14" t="n">
        <x:v>5</x:v>
      </x:c>
      <x:c r="O223" s="14" t="n">
        <x:v>100375</x:v>
      </x:c>
      <x:c r="P223" t="str">
        <x:v>R-E</x:v>
      </x:c>
      <x:c r="Q223" s="12" t="n">
        <x:v>3.69</x:v>
      </x:c>
      <x:c r="R223" s="12" t="n">
        <x:v>3.22</x:v>
      </x:c>
      <x:c r="S223" s="12" t="n">
        <x:v>3.25</x:v>
      </x:c>
      <x:c r="T223" s="12" t="n">
        <x:v>2.77</x:v>
      </x:c>
      <x:c r="U223" s="12" t="n">
        <x:v>3.48</x:v>
      </x:c>
      <x:c r="V223" s="12" t="n">
        <x:v>3.33</x:v>
      </x:c>
      <x:c r="W223" s="12" t="n">
        <x:f>ROUND((Q223*0.24)+(R223*0.22)+(S223*0.16)+(T223*0.18)+(U223*0.10)+(V223*0.10),2)</x:f>
        <x:v>3.29</x:v>
      </x:c>
      <x:c r="X223" t="str">
        <x:f>IF(W223&gt;=3.55,"Pass","Fail")</x:f>
        <x:v>Fail</x:v>
      </x:c>
      <x:c r="Y223" t="str">
        <x:v>wrong grip on tool</x:v>
      </x:c>
      <x:c r="Z223" t="str">
        <x:v>Review note: The clip looks like generic DIY stock footage rather than this specific step. The main problem is wrong grip on tool, and the end state is not verifiable. I would keep the same camera angle but ask for a tighter view of the contact point. The baseline prompt is likely under-specifying the tool path.</x:v>
      </x:c>
      <x:c r="AA223" t="str">
        <x:v>Add a one-sentence end-state requirement: viewer must see the completed inserting result for one full second.</x:v>
      </x:c>
      <x:c r="AB223" t="str">
        <x:v>Medium</x:v>
      </x:c>
      <x:c r="AC223" t="str"/>
      <x:c r="AD223" t="str">
        <x:v>Planning dataset only; scores are plausible placeholders, not vendor claims.</x:v>
      </x:c>
    </x:row>
    <x:row r="224">
      <x:c r="A224" t="str">
        <x:v>S038-Veo-STR</x:v>
      </x:c>
      <x:c r="B224" t="str">
        <x:v>S038</x:v>
      </x:c>
      <x:c r="C224" t="str">
        <x:v>Electrical</x:v>
      </x:c>
      <x:c r="D224" t="str">
        <x:v>continuity</x:v>
      </x:c>
      <x:c r="E224" t="str">
        <x:v>measuring</x:v>
      </x:c>
      <x:c r="F224" t="n">
        <x:v>4</x:v>
      </x:c>
      <x:c r="G224" t="str">
        <x:v>touch multimeter probes to both ends of a fuse</x:v>
      </x:c>
      <x:c r="H224" t="str">
        <x:v>multimeter</x:v>
      </x:c>
      <x:c r="I224" t="str">
        <x:v>cartridge fuse</x:v>
      </x:c>
      <x:c r="J224" t="str">
        <x:v>Veo 3.1</x:v>
      </x:c>
      <x:c r="K224" t="str">
        <x:v>Structured Action-Object-Tool</x:v>
      </x:c>
      <x:c r="L224" t="str">
        <x:v>Action, tool, object, grip, contact point, start/end states.</x:v>
      </x:c>
      <x:c r="M224" t="str">
        <x:v>Close-up realistic instructional DIY video: touch multimeter probes to both ends of a fuse. Show multimeter working on cartridge fuse. Hands visible, stable camera, no text overlay, neutral shop lighting. Action=measuring; tool=multimeter; object/material=cartridge fuse; show tool-to-object contact; start state, motion, and finished state all visible.</x:v>
      </x:c>
      <x:c r="N224" s="14" t="n">
        <x:v>8</x:v>
      </x:c>
      <x:c r="O224" s="14" t="n">
        <x:v>100380</x:v>
      </x:c>
      <x:c r="P224" t="str">
        <x:v>R-E</x:v>
      </x:c>
      <x:c r="Q224" s="12" t="n">
        <x:v>3.8</x:v>
      </x:c>
      <x:c r="R224" s="12" t="n">
        <x:v>4.26</x:v>
      </x:c>
      <x:c r="S224" s="12" t="n">
        <x:v>4.21</x:v>
      </x:c>
      <x:c r="T224" s="12" t="n">
        <x:v>4.31</x:v>
      </x:c>
      <x:c r="U224" s="12" t="n">
        <x:v>3.73</x:v>
      </x:c>
      <x:c r="V224" s="12" t="n">
        <x:v>4.1</x:v>
      </x:c>
      <x:c r="W224" s="12" t="n">
        <x:f>ROUND((Q224*0.24)+(R224*0.22)+(S224*0.16)+(T224*0.18)+(U224*0.10)+(V224*0.10),2)</x:f>
        <x:v>4.08</x:v>
      </x:c>
      <x:c r="X224" t="str">
        <x:f>IF(W224&gt;=3.55,"Pass","Fail")</x:f>
        <x:v>Pass</x:v>
      </x:c>
      <x:c r="Y224" t="str">
        <x:v>motion slightly compressed</x:v>
      </x:c>
      <x:c r="Z224" t="str">
        <x:v>QA note: Looks plausible at first glance. On a second pass, the cartridge fuse shifts slightly and the model seems to infer the outcome rather than show the full measuring. The most important fix is to show the before-and-after state without a cut. For this electrical example, the main judgment is still whether the viewer can copy the motion.</x:v>
      </x:c>
      <x:c r="AA224" t="str">
        <x:v>Ask for a static close-up and require the multimeter to touch the cartridge fuse before any motion starts.</x:v>
      </x:c>
      <x:c r="AB224" t="str">
        <x:v>High</x:v>
      </x:c>
      <x:c r="AC224" t="str"/>
      <x:c r="AD224" t="str">
        <x:v>Synthetic benchmark entry; generated clip URL should be filled after API run.</x:v>
      </x:c>
    </x:row>
    <x:row r="225">
      <x:c r="A225" t="str">
        <x:v>S038-Sora-STR</x:v>
      </x:c>
      <x:c r="B225" t="str">
        <x:v>S038</x:v>
      </x:c>
      <x:c r="C225" t="str">
        <x:v>Electrical</x:v>
      </x:c>
      <x:c r="D225" t="str">
        <x:v>continuity</x:v>
      </x:c>
      <x:c r="E225" t="str">
        <x:v>measuring</x:v>
      </x:c>
      <x:c r="F225" t="n">
        <x:v>4</x:v>
      </x:c>
      <x:c r="G225" t="str">
        <x:v>touch multimeter probes to both ends of a fuse</x:v>
      </x:c>
      <x:c r="H225" t="str">
        <x:v>multimeter</x:v>
      </x:c>
      <x:c r="I225" t="str">
        <x:v>cartridge fuse</x:v>
      </x:c>
      <x:c r="J225" t="str">
        <x:v>Sora 2 Pro</x:v>
      </x:c>
      <x:c r="K225" t="str">
        <x:v>Structured Action-Object-Tool</x:v>
      </x:c>
      <x:c r="L225" t="str">
        <x:v>Action, tool, object, grip, contact point, start/end states.</x:v>
      </x:c>
      <x:c r="M225" t="str">
        <x:v>Close-up realistic instructional DIY video: touch multimeter probes to both ends of a fuse. Show multimeter working on cartridge fuse. Hands visible, stable camera, no text overlay, neutral shop lighting. Action=measuring; tool=multimeter; object/material=cartridge fuse; show tool-to-object contact; start state, motion, and finished state all visible.</x:v>
      </x:c>
      <x:c r="N225" s="14" t="n">
        <x:v>8</x:v>
      </x:c>
      <x:c r="O225" s="14" t="n">
        <x:v>100381</x:v>
      </x:c>
      <x:c r="P225" t="str">
        <x:v>R-E</x:v>
      </x:c>
      <x:c r="Q225" s="12" t="n">
        <x:v>3.97</x:v>
      </x:c>
      <x:c r="R225" s="12" t="n">
        <x:v>4.4</x:v>
      </x:c>
      <x:c r="S225" s="12" t="n">
        <x:v>3.31</x:v>
      </x:c>
      <x:c r="T225" s="12" t="n">
        <x:v>4.28</x:v>
      </x:c>
      <x:c r="U225" s="12" t="n">
        <x:v>3.5</x:v>
      </x:c>
      <x:c r="V225" s="12" t="n">
        <x:v>4.1</x:v>
      </x:c>
      <x:c r="W225" s="12" t="n">
        <x:f>ROUND((Q225*0.24)+(R225*0.22)+(S225*0.16)+(T225*0.18)+(U225*0.10)+(V225*0.10),2)</x:f>
        <x:v>3.98</x:v>
      </x:c>
      <x:c r="X225" t="str">
        <x:f>IF(W225&gt;=3.55,"Pass","Fail")</x:f>
        <x:v>Pass</x:v>
      </x:c>
      <x:c r="Y225" t="str">
        <x:v>none</x:v>
      </x:c>
      <x:c r="Z225" t="str">
        <x:v>Human check: Usable, but I would not show it without review. The multimeter is recognizable, yet the exact contact point is hard to see when the hand crosses the frame. This would be safer as a reference-aided run than a text-only run. For this electrical example, the main judgment is still whether the viewer can copy the motion.</x:v>
      </x:c>
      <x:c r="AA225" t="str">
        <x:v>Use a reference image for the multimeter and specify its grip/orientation in plain language.</x:v>
      </x:c>
      <x:c r="AB225" t="str">
        <x:v>Medium</x:v>
      </x:c>
      <x:c r="AC225" t="str"/>
      <x:c r="AD225" t="str">
        <x:v>Planning dataset only; scores are plausible placeholders, not vendor claims.</x:v>
      </x:c>
    </x:row>
    <x:row r="226">
      <x:c r="A226" t="str">
        <x:v>S038-Runway-STR</x:v>
      </x:c>
      <x:c r="B226" t="str">
        <x:v>S038</x:v>
      </x:c>
      <x:c r="C226" t="str">
        <x:v>Electrical</x:v>
      </x:c>
      <x:c r="D226" t="str">
        <x:v>continuity</x:v>
      </x:c>
      <x:c r="E226" t="str">
        <x:v>measuring</x:v>
      </x:c>
      <x:c r="F226" t="n">
        <x:v>4</x:v>
      </x:c>
      <x:c r="G226" t="str">
        <x:v>touch multimeter probes to both ends of a fuse</x:v>
      </x:c>
      <x:c r="H226" t="str">
        <x:v>multimeter</x:v>
      </x:c>
      <x:c r="I226" t="str">
        <x:v>cartridge fuse</x:v>
      </x:c>
      <x:c r="J226" t="str">
        <x:v>Runway Gen-4.5</x:v>
      </x:c>
      <x:c r="K226" t="str">
        <x:v>Structured Action-Object-Tool</x:v>
      </x:c>
      <x:c r="L226" t="str">
        <x:v>Action, tool, object, grip, contact point, start/end states.</x:v>
      </x:c>
      <x:c r="M226" t="str">
        <x:v>Close-up realistic instructional DIY video: touch multimeter probes to both ends of a fuse. Show multimeter working on cartridge fuse. Hands visible, stable camera, no text overlay, neutral shop lighting. Action=measuring; tool=multimeter; object/material=cartridge fuse; show tool-to-object contact; start state, motion, and finished state all visible.</x:v>
      </x:c>
      <x:c r="N226" s="14" t="n">
        <x:v>5</x:v>
      </x:c>
      <x:c r="O226" s="14" t="n">
        <x:v>100382</x:v>
      </x:c>
      <x:c r="P226" t="str">
        <x:v>R-E</x:v>
      </x:c>
      <x:c r="Q226" s="12" t="n">
        <x:v>3.85</x:v>
      </x:c>
      <x:c r="R226" s="12" t="n">
        <x:v>3.58</x:v>
      </x:c>
      <x:c r="S226" s="12" t="n">
        <x:v>3.8</x:v>
      </x:c>
      <x:c r="T226" s="12" t="n">
        <x:v>4.11</x:v>
      </x:c>
      <x:c r="U226" s="12" t="n">
        <x:v>3.52</x:v>
      </x:c>
      <x:c r="V226" s="12" t="n">
        <x:v>3.56</x:v>
      </x:c>
      <x:c r="W226" s="12" t="n">
        <x:f>ROUND((Q226*0.24)+(R226*0.22)+(S226*0.16)+(T226*0.18)+(U226*0.10)+(V226*0.10),2)</x:f>
        <x:v>3.77</x:v>
      </x:c>
      <x:c r="X226" t="str">
        <x:f>IF(W226&gt;=3.55,"Pass","Fail")</x:f>
        <x:v>Pass</x:v>
      </x:c>
      <x:c r="Y226" t="str">
        <x:v>thread direction unclear</x:v>
      </x:c>
      <x:c r="Z226" t="str">
        <x:v>Clip review: Usable, but I would not show it without review. The multimeter is recognizable, yet the exact contact point is hard to see when the hand crosses the frame. The clip needs a verifier pass before it can enter the training pool. For this electrical example, the main judgment is still whether the viewer can copy the motion.</x:v>
      </x:c>
      <x:c r="AA226" t="str">
        <x:v>Use a reference image for the multimeter and specify its grip/orientation in plain language.</x:v>
      </x:c>
      <x:c r="AB226" t="str">
        <x:v>Medium-High</x:v>
      </x:c>
      <x:c r="AC226" t="str"/>
      <x:c r="AD226" t="str">
        <x:v>Planning dataset only; scores are plausible placeholders, not vendor claims.</x:v>
      </x:c>
    </x:row>
    <x:row r="227">
      <x:c r="A227" t="str">
        <x:v>S038-Kling-STR</x:v>
      </x:c>
      <x:c r="B227" t="str">
        <x:v>S038</x:v>
      </x:c>
      <x:c r="C227" t="str">
        <x:v>Electrical</x:v>
      </x:c>
      <x:c r="D227" t="str">
        <x:v>continuity</x:v>
      </x:c>
      <x:c r="E227" t="str">
        <x:v>measuring</x:v>
      </x:c>
      <x:c r="F227" t="n">
        <x:v>4</x:v>
      </x:c>
      <x:c r="G227" t="str">
        <x:v>touch multimeter probes to both ends of a fuse</x:v>
      </x:c>
      <x:c r="H227" t="str">
        <x:v>multimeter</x:v>
      </x:c>
      <x:c r="I227" t="str">
        <x:v>cartridge fuse</x:v>
      </x:c>
      <x:c r="J227" t="str">
        <x:v>Kling v3.0 (Replicate)</x:v>
      </x:c>
      <x:c r="K227" t="str">
        <x:v>Structured Action-Object-Tool</x:v>
      </x:c>
      <x:c r="L227" t="str">
        <x:v>Action, tool, object, grip, contact point, start/end states.</x:v>
      </x:c>
      <x:c r="M227" t="str">
        <x:v>Close-up realistic instructional DIY video: touch multimeter probes to both ends of a fuse. Show multimeter working on cartridge fuse. Hands visible, stable camera, no text overlay, neutral shop lighting. Action=measuring; tool=multimeter; object/material=cartridge fuse; show tool-to-object contact; start state, motion, and finished state all visible.</x:v>
      </x:c>
      <x:c r="N227" s="14" t="n">
        <x:v>10</x:v>
      </x:c>
      <x:c r="O227" s="14" t="n">
        <x:v>100383</x:v>
      </x:c>
      <x:c r="P227" t="str">
        <x:v>R-A</x:v>
      </x:c>
      <x:c r="Q227" s="12" t="n">
        <x:v>4.03</x:v>
      </x:c>
      <x:c r="R227" s="12" t="n">
        <x:v>3.85</x:v>
      </x:c>
      <x:c r="S227" s="12" t="n">
        <x:v>3.62</x:v>
      </x:c>
      <x:c r="T227" s="12" t="n">
        <x:v>3.72</x:v>
      </x:c>
      <x:c r="U227" s="12" t="n">
        <x:v>3.06</x:v>
      </x:c>
      <x:c r="V227" s="12" t="n">
        <x:v>3.97</x:v>
      </x:c>
      <x:c r="W227" s="12" t="n">
        <x:f>ROUND((Q227*0.24)+(R227*0.22)+(S227*0.16)+(T227*0.18)+(U227*0.10)+(V227*0.10),2)</x:f>
        <x:v>3.77</x:v>
      </x:c>
      <x:c r="X227" t="str">
        <x:f>IF(W227&gt;=3.55,"Pass","Fail")</x:f>
        <x:v>Pass</x:v>
      </x:c>
      <x:c r="Y227" t="str">
        <x:v>wrong grip on tool</x:v>
      </x:c>
      <x:c r="Z227" t="str">
        <x:v>Human check: The intention is clear, especially if you already know the step. A novice might miss the key detail because this issue appears right where the action should be most explicit: wrong grip on tool. The tool silhouette is acceptable; the mechanics are the weak part. For this electrical example, the main judgment is still whether the viewer can copy the motion.</x:v>
      </x:c>
      <x:c r="AA227" t="str">
        <x:v>Add a one-sentence end-state requirement: viewer must see the completed measuring result for one full second.</x:v>
      </x:c>
      <x:c r="AB227" t="str">
        <x:v>High</x:v>
      </x:c>
      <x:c r="AC227" t="str"/>
      <x:c r="AD227" t="str">
        <x:v>Simulated pilot row for planning; replace with blinded ratings after generating actual clips.</x:v>
      </x:c>
    </x:row>
    <x:row r="228">
      <x:c r="A228" t="str">
        <x:v>S038-Pika-STR</x:v>
      </x:c>
      <x:c r="B228" t="str">
        <x:v>S038</x:v>
      </x:c>
      <x:c r="C228" t="str">
        <x:v>Electrical</x:v>
      </x:c>
      <x:c r="D228" t="str">
        <x:v>continuity</x:v>
      </x:c>
      <x:c r="E228" t="str">
        <x:v>measuring</x:v>
      </x:c>
      <x:c r="F228" t="n">
        <x:v>4</x:v>
      </x:c>
      <x:c r="G228" t="str">
        <x:v>touch multimeter probes to both ends of a fuse</x:v>
      </x:c>
      <x:c r="H228" t="str">
        <x:v>multimeter</x:v>
      </x:c>
      <x:c r="I228" t="str">
        <x:v>cartridge fuse</x:v>
      </x:c>
      <x:c r="J228" t="str">
        <x:v>Pika 2.2</x:v>
      </x:c>
      <x:c r="K228" t="str">
        <x:v>Structured Action-Object-Tool</x:v>
      </x:c>
      <x:c r="L228" t="str">
        <x:v>Action, tool, object, grip, contact point, start/end states.</x:v>
      </x:c>
      <x:c r="M228" t="str">
        <x:v>Close-up realistic instructional DIY video: touch multimeter probes to both ends of a fuse. Show multimeter working on cartridge fuse. Hands visible, stable camera, no text overlay, neutral shop lighting. Action=measuring; tool=multimeter; object/material=cartridge fuse; show tool-to-object contact; start state, motion, and finished state all visible.</x:v>
      </x:c>
      <x:c r="N228" s="14" t="n">
        <x:v>5</x:v>
      </x:c>
      <x:c r="O228" s="14" t="n">
        <x:v>100384</x:v>
      </x:c>
      <x:c r="P228" t="str">
        <x:v>R-D</x:v>
      </x:c>
      <x:c r="Q228" s="12" t="n">
        <x:v>3.85</x:v>
      </x:c>
      <x:c r="R228" s="12" t="n">
        <x:v>3.06</x:v>
      </x:c>
      <x:c r="S228" s="12" t="n">
        <x:v>3.6</x:v>
      </x:c>
      <x:c r="T228" s="12" t="n">
        <x:v>3.53</x:v>
      </x:c>
      <x:c r="U228" s="12" t="n">
        <x:v>3.42</x:v>
      </x:c>
      <x:c r="V228" s="12" t="n">
        <x:v>3.33</x:v>
      </x:c>
      <x:c r="W228" s="12" t="n">
        <x:f>ROUND((Q228*0.24)+(R228*0.22)+(S228*0.16)+(T228*0.18)+(U228*0.10)+(V228*0.10),2)</x:f>
        <x:v>3.48</x:v>
      </x:c>
      <x:c r="X228" t="str">
        <x:f>IF(W228&gt;=3.55,"Pass","Fail")</x:f>
        <x:v>Fail</x:v>
      </x:c>
      <x:c r="Y228" t="str">
        <x:v>camera blocks work</x:v>
      </x:c>
      <x:c r="Z228" t="str">
        <x:v>Clip review: A reviewer would likely reject this. It may be visually attractive, but the tool/object relationship breaks during the important moment. The prompt should prioritize hand path over cinematic lighting. For this electrical example, the main judgment is still whether the viewer can copy the motion.</x:v>
      </x:c>
      <x:c r="AA228" t="str">
        <x:v>Use sequential context only for continuity, not for adding previous/next steps into the frame.</x:v>
      </x:c>
      <x:c r="AB228" t="str">
        <x:v>Medium-High</x:v>
      </x:c>
      <x:c r="AC228" t="str"/>
      <x:c r="AD228" t="str">
        <x:v>Simulated pilot row for planning; replace with blinded ratings after generating actual clips.</x:v>
      </x:c>
    </x:row>
    <x:row r="229">
      <x:c r="A229" t="str">
        <x:v>S038-Vidu-STR</x:v>
      </x:c>
      <x:c r="B229" t="str">
        <x:v>S038</x:v>
      </x:c>
      <x:c r="C229" t="str">
        <x:v>Electrical</x:v>
      </x:c>
      <x:c r="D229" t="str">
        <x:v>continuity</x:v>
      </x:c>
      <x:c r="E229" t="str">
        <x:v>measuring</x:v>
      </x:c>
      <x:c r="F229" t="n">
        <x:v>4</x:v>
      </x:c>
      <x:c r="G229" t="str">
        <x:v>touch multimeter probes to both ends of a fuse</x:v>
      </x:c>
      <x:c r="H229" t="str">
        <x:v>multimeter</x:v>
      </x:c>
      <x:c r="I229" t="str">
        <x:v>cartridge fuse</x:v>
      </x:c>
      <x:c r="J229" t="str">
        <x:v>Vidu 2.0</x:v>
      </x:c>
      <x:c r="K229" t="str">
        <x:v>Structured Action-Object-Tool</x:v>
      </x:c>
      <x:c r="L229" t="str">
        <x:v>Action, tool, object, grip, contact point, start/end states.</x:v>
      </x:c>
      <x:c r="M229" t="str">
        <x:v>Close-up realistic instructional DIY video: touch multimeter probes to both ends of a fuse. Show multimeter working on cartridge fuse. Hands visible, stable camera, no text overlay, neutral shop lighting. Action=measuring; tool=multimeter; object/material=cartridge fuse; show tool-to-object contact; start state, motion, and finished state all visible.</x:v>
      </x:c>
      <x:c r="N229" s="14" t="n">
        <x:v>5</x:v>
      </x:c>
      <x:c r="O229" s="14" t="n">
        <x:v>100385</x:v>
      </x:c>
      <x:c r="P229" t="str">
        <x:v>R-B</x:v>
      </x:c>
      <x:c r="Q229" s="12" t="n">
        <x:v>3.04</x:v>
      </x:c>
      <x:c r="R229" s="12" t="n">
        <x:v>3.76</x:v>
      </x:c>
      <x:c r="S229" s="12" t="n">
        <x:v>3.02</x:v>
      </x:c>
      <x:c r="T229" s="12" t="n">
        <x:v>3.42</x:v>
      </x:c>
      <x:c r="U229" s="12" t="n">
        <x:v>3.77</x:v>
      </x:c>
      <x:c r="V229" s="12" t="n">
        <x:v>3.25</x:v>
      </x:c>
      <x:c r="W229" s="12" t="n">
        <x:f>ROUND((Q229*0.24)+(R229*0.22)+(S229*0.16)+(T229*0.18)+(U229*0.10)+(V229*0.10),2)</x:f>
        <x:v>3.36</x:v>
      </x:c>
      <x:c r="X229" t="str">
        <x:f>IF(W229&gt;=3.55,"Pass","Fail")</x:f>
        <x:v>Fail</x:v>
      </x:c>
      <x:c r="Y229" t="str">
        <x:v>camera blocks work</x:v>
      </x:c>
      <x:c r="Z229" t="str">
        <x:v>QA note: The generated clip loses the procedure. I would re-run with a reference frame and a stricter Action-Object-Tool prompt. The mistake appears late, so a simple thumbnail review would probably miss it. For this electrical example, the main judgment is still whether the viewer can copy the motion.</x:v>
      </x:c>
      <x:c r="AA229" t="str">
        <x:v>Specify the exact contact point and do not allow the hand to cover it.</x:v>
      </x:c>
      <x:c r="AB229" t="str">
        <x:v>Medium</x:v>
      </x:c>
      <x:c r="AC229" t="str"/>
      <x:c r="AD229" t="str">
        <x:v>Simulated pilot row for planning; replace with blinded ratings after generating actual clips.</x:v>
      </x:c>
    </x:row>
    <x:row r="230">
      <x:c r="A230" t="str">
        <x:v>S039-Veo-MET</x:v>
      </x:c>
      <x:c r="B230" t="str">
        <x:v>S039</x:v>
      </x:c>
      <x:c r="C230" t="str">
        <x:v>Electrical</x:v>
      </x:c>
      <x:c r="D230" t="str">
        <x:v>box prep</x:v>
      </x:c>
      <x:c r="E230" t="str">
        <x:v>removing</x:v>
      </x:c>
      <x:c r="F230" t="n">
        <x:v>3</x:v>
      </x:c>
      <x:c r="G230" t="str">
        <x:v>remove a knockout from a metal junction box</x:v>
      </x:c>
      <x:c r="H230" t="str">
        <x:v>flathead screwdriver</x:v>
      </x:c>
      <x:c r="I230" t="str">
        <x:v>metal junction box knockout</x:v>
      </x:c>
      <x:c r="J230" t="str">
        <x:v>Veo 3.1</x:v>
      </x:c>
      <x:c r="K230" t="str">
        <x:v>Metadata-Enriched</x:v>
      </x:c>
      <x:c r="L230" t="str">
        <x:v>Uses clipDescription, clipSummary, toolNames, suppliesNames, processTechniques, safetyEquipment.</x:v>
      </x:c>
      <x:c r="M230" t="str">
        <x:v>Close-up realistic instructional DIY video: remove a knockout from a metal junction box. Show flathead screwdriver working on metal junction box knockout. Hands visible, stable camera, no text overlay, neutral shop lighting. clipDescription='remove a knockout from a metal junction box'. clipSummary='one practical repair step'. toolNames='flathead screwdriver'. suppliesNames='metal junction box knockout'. processTechnique='removing'. Safety cue: use normal homeowner precautions and avoid risky shortcuts.</x:v>
      </x:c>
      <x:c r="N230" s="14" t="n">
        <x:v>8</x:v>
      </x:c>
      <x:c r="O230" s="14" t="n">
        <x:v>100390</x:v>
      </x:c>
      <x:c r="P230" t="str">
        <x:v>R-A</x:v>
      </x:c>
      <x:c r="Q230" s="12" t="n">
        <x:v>4.47</x:v>
      </x:c>
      <x:c r="R230" s="12" t="n">
        <x:v>4.31</x:v>
      </x:c>
      <x:c r="S230" s="12" t="n">
        <x:v>3.64</x:v>
      </x:c>
      <x:c r="T230" s="12" t="n">
        <x:v>4.41</x:v>
      </x:c>
      <x:c r="U230" s="12" t="n">
        <x:v>3.78</x:v>
      </x:c>
      <x:c r="V230" s="12" t="n">
        <x:v>4.35</x:v>
      </x:c>
      <x:c r="W230" s="12" t="n">
        <x:f>ROUND((Q230*0.24)+(R230*0.22)+(S230*0.16)+(T230*0.18)+(U230*0.10)+(V230*0.10),2)</x:f>
        <x:v>4.21</x:v>
      </x:c>
      <x:c r="X230" t="str">
        <x:f>IF(W230&gt;=3.55,"Pass","Fail")</x:f>
        <x:v>Pass</x:v>
      </x:c>
      <x:c r="Y230" t="str">
        <x:v>motion slightly compressed</x:v>
      </x:c>
      <x:c r="Z230" t="str">
        <x:v>Clip review: Clear enough for a learner. The workpiece does not wander and the camera stays on the metal junction box knockout; I would still add a freeze or caption after generation. This reads better as a teaser than as an instructional clip. For this electrical example, the main judgment is still whether the viewer can copy the motion.</x:v>
      </x:c>
      <x:c r="AA230" t="str">
        <x:v>Use a reference image for the flathead screwdriver and specify its grip/orientation in plain language.</x:v>
      </x:c>
      <x:c r="AB230" t="str">
        <x:v>Medium-High</x:v>
      </x:c>
      <x:c r="AC230" t="str"/>
      <x:c r="AD230" t="str">
        <x:v>Synthetic benchmark entry; generated clip URL should be filled after API run.</x:v>
      </x:c>
    </x:row>
    <x:row r="231">
      <x:c r="A231" t="str">
        <x:v>S039-Sora-MET</x:v>
      </x:c>
      <x:c r="B231" t="str">
        <x:v>S039</x:v>
      </x:c>
      <x:c r="C231" t="str">
        <x:v>Electrical</x:v>
      </x:c>
      <x:c r="D231" t="str">
        <x:v>box prep</x:v>
      </x:c>
      <x:c r="E231" t="str">
        <x:v>removing</x:v>
      </x:c>
      <x:c r="F231" t="n">
        <x:v>3</x:v>
      </x:c>
      <x:c r="G231" t="str">
        <x:v>remove a knockout from a metal junction box</x:v>
      </x:c>
      <x:c r="H231" t="str">
        <x:v>flathead screwdriver</x:v>
      </x:c>
      <x:c r="I231" t="str">
        <x:v>metal junction box knockout</x:v>
      </x:c>
      <x:c r="J231" t="str">
        <x:v>Sora 2 Pro</x:v>
      </x:c>
      <x:c r="K231" t="str">
        <x:v>Metadata-Enriched</x:v>
      </x:c>
      <x:c r="L231" t="str">
        <x:v>Uses clipDescription, clipSummary, toolNames, suppliesNames, processTechniques, safetyEquipment.</x:v>
      </x:c>
      <x:c r="M231" t="str">
        <x:v>Close-up realistic instructional DIY video: remove a knockout from a metal junction box. Show flathead screwdriver working on metal junction box knockout. Hands visible, stable camera, no text overlay, neutral shop lighting. clipDescription='remove a knockout from a metal junction box'. clipSummary='one practical repair step'. toolNames='flathead screwdriver'. suppliesNames='metal junction box knockout'. processTechnique='removing'. Safety cue: use normal homeowner precautions and avoid risky shortcuts.</x:v>
      </x:c>
      <x:c r="N231" s="14" t="n">
        <x:v>8</x:v>
      </x:c>
      <x:c r="O231" s="14" t="n">
        <x:v>100391</x:v>
      </x:c>
      <x:c r="P231" t="str">
        <x:v>R-D</x:v>
      </x:c>
      <x:c r="Q231" s="12" t="n">
        <x:v>4.42</x:v>
      </x:c>
      <x:c r="R231" s="12" t="n">
        <x:v>3.96</x:v>
      </x:c>
      <x:c r="S231" s="12" t="n">
        <x:v>4.44</x:v>
      </x:c>
      <x:c r="T231" s="12" t="n">
        <x:v>5</x:v>
      </x:c>
      <x:c r="U231" s="12" t="n">
        <x:v>4.06</x:v>
      </x:c>
      <x:c r="V231" s="12" t="n">
        <x:v>4.04</x:v>
      </x:c>
      <x:c r="W231" s="12" t="n">
        <x:f>ROUND((Q231*0.24)+(R231*0.22)+(S231*0.16)+(T231*0.18)+(U231*0.10)+(V231*0.10),2)</x:f>
        <x:v>4.35</x:v>
      </x:c>
      <x:c r="X231" t="str">
        <x:f>IF(W231&gt;=3.55,"Pass","Fail")</x:f>
        <x:v>Pass</x:v>
      </x:c>
      <x:c r="Y231" t="str">
        <x:v>none</x:v>
      </x:c>
      <x:c r="Z231" t="str">
        <x:v>Rater note: Clear enough for a learner. The workpiece does not wander and the camera stays on the metal junction box knockout; I would still add a freeze or caption after generation. The prompt should prioritize hand path over cinematic lighting. For this electrical example, the main judgment is still whether the viewer can copy the motion.</x:v>
      </x:c>
      <x:c r="AA231" t="str">
        <x:v>No immediate re-run; keep as candidate and verify with a second rater.</x:v>
      </x:c>
      <x:c r="AB231" t="str">
        <x:v>Medium</x:v>
      </x:c>
      <x:c r="AC231" t="str"/>
      <x:c r="AD231" t="str">
        <x:v>Synthetic benchmark entry; generated clip URL should be filled after API run.</x:v>
      </x:c>
    </x:row>
    <x:row r="232">
      <x:c r="A232" t="str">
        <x:v>S039-Runway-MET</x:v>
      </x:c>
      <x:c r="B232" t="str">
        <x:v>S039</x:v>
      </x:c>
      <x:c r="C232" t="str">
        <x:v>Electrical</x:v>
      </x:c>
      <x:c r="D232" t="str">
        <x:v>box prep</x:v>
      </x:c>
      <x:c r="E232" t="str">
        <x:v>removing</x:v>
      </x:c>
      <x:c r="F232" t="n">
        <x:v>3</x:v>
      </x:c>
      <x:c r="G232" t="str">
        <x:v>remove a knockout from a metal junction box</x:v>
      </x:c>
      <x:c r="H232" t="str">
        <x:v>flathead screwdriver</x:v>
      </x:c>
      <x:c r="I232" t="str">
        <x:v>metal junction box knockout</x:v>
      </x:c>
      <x:c r="J232" t="str">
        <x:v>Runway Gen-4.5</x:v>
      </x:c>
      <x:c r="K232" t="str">
        <x:v>Metadata-Enriched</x:v>
      </x:c>
      <x:c r="L232" t="str">
        <x:v>Uses clipDescription, clipSummary, toolNames, suppliesNames, processTechniques, safetyEquipment.</x:v>
      </x:c>
      <x:c r="M232" t="str">
        <x:v>Close-up realistic instructional DIY video: remove a knockout from a metal junction box. Show flathead screwdriver working on metal junction box knockout. Hands visible, stable camera, no text overlay, neutral shop lighting. clipDescription='remove a knockout from a metal junction box'. clipSummary='one practical repair step'. toolNames='flathead screwdriver'. suppliesNames='metal junction box knockout'. processTechnique='removing'. Safety cue: use normal homeowner precautions and avoid risky shortcuts.</x:v>
      </x:c>
      <x:c r="N232" s="14" t="n">
        <x:v>5</x:v>
      </x:c>
      <x:c r="O232" s="14" t="n">
        <x:v>100392</x:v>
      </x:c>
      <x:c r="P232" t="str">
        <x:v>R-A</x:v>
      </x:c>
      <x:c r="Q232" s="12" t="n">
        <x:v>3.09</x:v>
      </x:c>
      <x:c r="R232" s="12" t="n">
        <x:v>3.82</x:v>
      </x:c>
      <x:c r="S232" s="12" t="n">
        <x:v>4.13</x:v>
      </x:c>
      <x:c r="T232" s="12" t="n">
        <x:v>4.01</x:v>
      </x:c>
      <x:c r="U232" s="12" t="n">
        <x:v>3.67</x:v>
      </x:c>
      <x:c r="V232" s="12" t="n">
        <x:v>4.05</x:v>
      </x:c>
      <x:c r="W232" s="12" t="n">
        <x:f>ROUND((Q232*0.24)+(R232*0.22)+(S232*0.16)+(T232*0.18)+(U232*0.10)+(V232*0.10),2)</x:f>
        <x:v>3.74</x:v>
      </x:c>
      <x:c r="X232" t="str">
        <x:f>IF(W232&gt;=3.55,"Pass","Fail")</x:f>
        <x:v>Pass</x:v>
      </x:c>
      <x:c r="Y232" t="str">
        <x:v>motion slightly compressed</x:v>
      </x:c>
      <x:c r="Z232" t="str">
        <x:v>Human check: The intention is clear, especially if you already know the step. A novice might miss the key detail because this issue appears right where the action should be most explicit: motion slightly compressed. The clip needs a verifier pass before it can enter the training pool. For this electrical example, the main judgment is still whether the viewer can copy the motion.</x:v>
      </x:c>
      <x:c r="AA232" t="str">
        <x:v>Move safety language earlier in the prompt and remove cinematic camera instructions.</x:v>
      </x:c>
      <x:c r="AB232" t="str">
        <x:v>Medium-High</x:v>
      </x:c>
      <x:c r="AC232" t="str"/>
      <x:c r="AD232" t="str">
        <x:v>Planning dataset only; scores are plausible placeholders, not vendor claims.</x:v>
      </x:c>
    </x:row>
    <x:row r="233">
      <x:c r="A233" t="str">
        <x:v>S039-Kling-MET</x:v>
      </x:c>
      <x:c r="B233" t="str">
        <x:v>S039</x:v>
      </x:c>
      <x:c r="C233" t="str">
        <x:v>Electrical</x:v>
      </x:c>
      <x:c r="D233" t="str">
        <x:v>box prep</x:v>
      </x:c>
      <x:c r="E233" t="str">
        <x:v>removing</x:v>
      </x:c>
      <x:c r="F233" t="n">
        <x:v>3</x:v>
      </x:c>
      <x:c r="G233" t="str">
        <x:v>remove a knockout from a metal junction box</x:v>
      </x:c>
      <x:c r="H233" t="str">
        <x:v>flathead screwdriver</x:v>
      </x:c>
      <x:c r="I233" t="str">
        <x:v>metal junction box knockout</x:v>
      </x:c>
      <x:c r="J233" t="str">
        <x:v>Kling v3.0 (Replicate)</x:v>
      </x:c>
      <x:c r="K233" t="str">
        <x:v>Metadata-Enriched</x:v>
      </x:c>
      <x:c r="L233" t="str">
        <x:v>Uses clipDescription, clipSummary, toolNames, suppliesNames, processTechniques, safetyEquipment.</x:v>
      </x:c>
      <x:c r="M233" t="str">
        <x:v>Close-up realistic instructional DIY video: remove a knockout from a metal junction box. Show flathead screwdriver working on metal junction box knockout. Hands visible, stable camera, no text overlay, neutral shop lighting. clipDescription='remove a knockout from a metal junction box'. clipSummary='one practical repair step'. toolNames='flathead screwdriver'. suppliesNames='metal junction box knockout'. processTechnique='removing'. Safety cue: use normal homeowner precautions and avoid risky shortcuts.</x:v>
      </x:c>
      <x:c r="N233" s="14" t="n">
        <x:v>10</x:v>
      </x:c>
      <x:c r="O233" s="14" t="n">
        <x:v>100393</x:v>
      </x:c>
      <x:c r="P233" t="str">
        <x:v>R-E</x:v>
      </x:c>
      <x:c r="Q233" s="12" t="n">
        <x:v>3.85</x:v>
      </x:c>
      <x:c r="R233" s="12" t="n">
        <x:v>3.29</x:v>
      </x:c>
      <x:c r="S233" s="12" t="n">
        <x:v>4.19</x:v>
      </x:c>
      <x:c r="T233" s="12" t="n">
        <x:v>4.26</x:v>
      </x:c>
      <x:c r="U233" s="12" t="n">
        <x:v>3.64</x:v>
      </x:c>
      <x:c r="V233" s="12" t="n">
        <x:v>3.66</x:v>
      </x:c>
      <x:c r="W233" s="12" t="n">
        <x:f>ROUND((Q233*0.24)+(R233*0.22)+(S233*0.16)+(T233*0.18)+(U233*0.10)+(V233*0.10),2)</x:f>
        <x:v>3.82</x:v>
      </x:c>
      <x:c r="X233" t="str">
        <x:f>IF(W233&gt;=3.55,"Pass","Fail")</x:f>
        <x:v>Pass</x:v>
      </x:c>
      <x:c r="Y233" t="str">
        <x:v>tool pose a little soft</x:v>
      </x:c>
      <x:c r="Z233" t="str">
        <x:v>Clip review: The intention is clear, especially if you already know the step. A novice might miss the key detail because this issue appears right where the action should be most explicit: tool pose a little soft. The next prompt should slow the final second instead of adding more scene detail. For this electrical example, the main judgment is still whether the viewer can copy the motion.</x:v>
      </x:c>
      <x:c r="AA233" t="str">
        <x:v>Add a one-sentence end-state requirement: viewer must see the completed removing result for one full second.</x:v>
      </x:c>
      <x:c r="AB233" t="str">
        <x:v>High</x:v>
      </x:c>
      <x:c r="AC233" t="str"/>
      <x:c r="AD233" t="str">
        <x:v>Planning dataset only; scores are plausible placeholders, not vendor claims.</x:v>
      </x:c>
    </x:row>
    <x:row r="234">
      <x:c r="A234" t="str">
        <x:v>S039-Pika-MET</x:v>
      </x:c>
      <x:c r="B234" t="str">
        <x:v>S039</x:v>
      </x:c>
      <x:c r="C234" t="str">
        <x:v>Electrical</x:v>
      </x:c>
      <x:c r="D234" t="str">
        <x:v>box prep</x:v>
      </x:c>
      <x:c r="E234" t="str">
        <x:v>removing</x:v>
      </x:c>
      <x:c r="F234" t="n">
        <x:v>3</x:v>
      </x:c>
      <x:c r="G234" t="str">
        <x:v>remove a knockout from a metal junction box</x:v>
      </x:c>
      <x:c r="H234" t="str">
        <x:v>flathead screwdriver</x:v>
      </x:c>
      <x:c r="I234" t="str">
        <x:v>metal junction box knockout</x:v>
      </x:c>
      <x:c r="J234" t="str">
        <x:v>Pika 2.2</x:v>
      </x:c>
      <x:c r="K234" t="str">
        <x:v>Metadata-Enriched</x:v>
      </x:c>
      <x:c r="L234" t="str">
        <x:v>Uses clipDescription, clipSummary, toolNames, suppliesNames, processTechniques, safetyEquipment.</x:v>
      </x:c>
      <x:c r="M234" t="str">
        <x:v>Close-up realistic instructional DIY video: remove a knockout from a metal junction box. Show flathead screwdriver working on metal junction box knockout. Hands visible, stable camera, no text overlay, neutral shop lighting. clipDescription='remove a knockout from a metal junction box'. clipSummary='one practical repair step'. toolNames='flathead screwdriver'. suppliesNames='metal junction box knockout'. processTechnique='removing'. Safety cue: use normal homeowner precautions and avoid risky shortcuts.</x:v>
      </x:c>
      <x:c r="N234" s="14" t="n">
        <x:v>5</x:v>
      </x:c>
      <x:c r="O234" s="14" t="n">
        <x:v>100394</x:v>
      </x:c>
      <x:c r="P234" t="str">
        <x:v>R-E</x:v>
      </x:c>
      <x:c r="Q234" s="12" t="n">
        <x:v>3.28</x:v>
      </x:c>
      <x:c r="R234" s="12" t="n">
        <x:v>3.95</x:v>
      </x:c>
      <x:c r="S234" s="12" t="n">
        <x:v>3.92</x:v>
      </x:c>
      <x:c r="T234" s="12" t="n">
        <x:v>3.21</x:v>
      </x:c>
      <x:c r="U234" s="12" t="n">
        <x:v>3.46</x:v>
      </x:c>
      <x:c r="V234" s="12" t="n">
        <x:v>3.87</x:v>
      </x:c>
      <x:c r="W234" s="12" t="n">
        <x:f>ROUND((Q234*0.24)+(R234*0.22)+(S234*0.16)+(T234*0.18)+(U234*0.10)+(V234*0.10),2)</x:f>
        <x:v>3.59</x:v>
      </x:c>
      <x:c r="X234" t="str">
        <x:f>IF(W234&gt;=3.55,"Pass","Fail")</x:f>
        <x:v>Pass</x:v>
      </x:c>
      <x:c r="Y234" t="str">
        <x:v>camera blocks work</x:v>
      </x:c>
      <x:c r="Z234" t="str">
        <x:v>QA note: Usable, but I would not show it without review. The flathead screwdriver is recognizable, yet the exact contact point is hard to see when the hand crosses the frame. The next prompt should slow the final second instead of adding more scene detail. For this electrical example, the main judgment is still whether the viewer can copy the motion.</x:v>
      </x:c>
      <x:c r="AA234" t="str">
        <x:v>Break the action into start, contact, movement, and finish; ban extra tools and hand morphing.</x:v>
      </x:c>
      <x:c r="AB234" t="str">
        <x:v>Medium</x:v>
      </x:c>
      <x:c r="AC234" t="str"/>
      <x:c r="AD234" t="str">
        <x:v>Simulated pilot row for planning; replace with blinded ratings after generating actual clips.</x:v>
      </x:c>
    </x:row>
    <x:row r="235">
      <x:c r="A235" t="str">
        <x:v>S039-Vidu-MET</x:v>
      </x:c>
      <x:c r="B235" t="str">
        <x:v>S039</x:v>
      </x:c>
      <x:c r="C235" t="str">
        <x:v>Electrical</x:v>
      </x:c>
      <x:c r="D235" t="str">
        <x:v>box prep</x:v>
      </x:c>
      <x:c r="E235" t="str">
        <x:v>removing</x:v>
      </x:c>
      <x:c r="F235" t="n">
        <x:v>3</x:v>
      </x:c>
      <x:c r="G235" t="str">
        <x:v>remove a knockout from a metal junction box</x:v>
      </x:c>
      <x:c r="H235" t="str">
        <x:v>flathead screwdriver</x:v>
      </x:c>
      <x:c r="I235" t="str">
        <x:v>metal junction box knockout</x:v>
      </x:c>
      <x:c r="J235" t="str">
        <x:v>Vidu 2.0</x:v>
      </x:c>
      <x:c r="K235" t="str">
        <x:v>Metadata-Enriched</x:v>
      </x:c>
      <x:c r="L235" t="str">
        <x:v>Uses clipDescription, clipSummary, toolNames, suppliesNames, processTechniques, safetyEquipment.</x:v>
      </x:c>
      <x:c r="M235" t="str">
        <x:v>Close-up realistic instructional DIY video: remove a knockout from a metal junction box. Show flathead screwdriver working on metal junction box knockout. Hands visible, stable camera, no text overlay, neutral shop lighting. clipDescription='remove a knockout from a metal junction box'. clipSummary='one practical repair step'. toolNames='flathead screwdriver'. suppliesNames='metal junction box knockout'. processTechnique='removing'. Safety cue: use normal homeowner precautions and avoid risky shortcuts.</x:v>
      </x:c>
      <x:c r="N235" s="14" t="n">
        <x:v>5</x:v>
      </x:c>
      <x:c r="O235" s="14" t="n">
        <x:v>100395</x:v>
      </x:c>
      <x:c r="P235" t="str">
        <x:v>R-A</x:v>
      </x:c>
      <x:c r="Q235" s="12" t="n">
        <x:v>2.99</x:v>
      </x:c>
      <x:c r="R235" s="12" t="n">
        <x:v>2.59</x:v>
      </x:c>
      <x:c r="S235" s="12" t="n">
        <x:v>3.12</x:v>
      </x:c>
      <x:c r="T235" s="12" t="n">
        <x:v>2.84</x:v>
      </x:c>
      <x:c r="U235" s="12" t="n">
        <x:v>3.03</x:v>
      </x:c>
      <x:c r="V235" s="12" t="n">
        <x:v>2.91</x:v>
      </x:c>
      <x:c r="W235" s="12" t="n">
        <x:f>ROUND((Q235*0.24)+(R235*0.22)+(S235*0.16)+(T235*0.18)+(U235*0.10)+(V235*0.10),2)</x:f>
        <x:v>2.89</x:v>
      </x:c>
      <x:c r="X235" t="str">
        <x:f>IF(W235&gt;=3.55,"Pass","Fail")</x:f>
        <x:v>Fail</x:v>
      </x:c>
      <x:c r="Y235" t="str">
        <x:v>sequence reversed</x:v>
      </x:c>
      <x:c r="Z235" t="str">
        <x:v>Rater note: A reviewer would likely reject this. It may be visually attractive, but the tool/object relationship breaks during the important moment. The mistake appears late, so a simple thumbnail review would probably miss it. For this electrical example, the main judgment is still whether the viewer can copy the motion.</x:v>
      </x:c>
      <x:c r="AA235" t="str">
        <x:v>Break the action into start, contact, movement, and finish; ban extra tools and hand morphing.</x:v>
      </x:c>
      <x:c r="AB235" t="str">
        <x:v>High</x:v>
      </x:c>
      <x:c r="AC235" t="str"/>
      <x:c r="AD235" t="str">
        <x:v>Simulated pilot row for planning; replace with blinded ratings after generating actual clips.</x:v>
      </x:c>
    </x:row>
    <x:row r="236">
      <x:c r="A236" t="str">
        <x:v>S040-Veo-REF</x:v>
      </x:c>
      <x:c r="B236" t="str">
        <x:v>S040</x:v>
      </x:c>
      <x:c r="C236" t="str">
        <x:v>Electrical</x:v>
      </x:c>
      <x:c r="D236" t="str">
        <x:v>finish work</x:v>
      </x:c>
      <x:c r="E236" t="str">
        <x:v>leveling</x:v>
      </x:c>
      <x:c r="F236" t="n">
        <x:v>2</x:v>
      </x:c>
      <x:c r="G236" t="str">
        <x:v>level a switch plate before the final screw turn</x:v>
      </x:c>
      <x:c r="H236" t="str">
        <x:v>torpedo level</x:v>
      </x:c>
      <x:c r="I236" t="str">
        <x:v>switch plate</x:v>
      </x:c>
      <x:c r="J236" t="str">
        <x:v>Veo 3.1</x:v>
      </x:c>
      <x:c r="K236" t="str">
        <x:v>Reference-Guided</x:v>
      </x:c>
      <x:c r="L236" t="str">
        <x:v>Adds reference-tool/image cue and brand-agnostic visual constraints.</x:v>
      </x:c>
      <x:c r="M236" t="str">
        <x:v>Close-up realistic instructional DIY video: level a switch plate before the final screw turn. Show torpedo level working on switch plate. Hands visible, stable camera, no text overlay, neutral shop lighting. Use a generic, brand-agnostic visual reference for the torpedo level; preserve the tool shape and scale; the torpedo level must remain in contact with switch plate during the key motion.</x:v>
      </x:c>
      <x:c r="N236" s="14" t="n">
        <x:v>8</x:v>
      </x:c>
      <x:c r="O236" s="14" t="n">
        <x:v>100400</x:v>
      </x:c>
      <x:c r="P236" t="str">
        <x:v>R-D</x:v>
      </x:c>
      <x:c r="Q236" s="12" t="n">
        <x:v>4.43</x:v>
      </x:c>
      <x:c r="R236" s="12" t="n">
        <x:v>4.12</x:v>
      </x:c>
      <x:c r="S236" s="12" t="n">
        <x:v>4.91</x:v>
      </x:c>
      <x:c r="T236" s="12" t="n">
        <x:v>4.56</x:v>
      </x:c>
      <x:c r="U236" s="12" t="n">
        <x:v>3.98</x:v>
      </x:c>
      <x:c r="V236" s="12" t="n">
        <x:v>4.38</x:v>
      </x:c>
      <x:c r="W236" s="12" t="n">
        <x:f>ROUND((Q236*0.24)+(R236*0.22)+(S236*0.16)+(T236*0.18)+(U236*0.10)+(V236*0.10),2)</x:f>
        <x:v>4.41</x:v>
      </x:c>
      <x:c r="X236" t="str">
        <x:f>IF(W236&gt;=3.55,"Pass","Fail")</x:f>
        <x:v>Pass</x:v>
      </x:c>
      <x:c r="Y236" t="str">
        <x:v>none</x:v>
      </x:c>
      <x:c r="Z236" t="str">
        <x:v>Rater note: The clip feels like a usable shop-demo take. I can see the hand position and the switch plate; it just needs a slightly longer hold on the final state. I marked it down for the key moment rather than the opening setup. For this electrical example, the main judgment is still whether the viewer can copy the motion.</x:v>
      </x:c>
      <x:c r="AA236" t="str">
        <x:v>No immediate re-run; keep as candidate and verify with a second rater.</x:v>
      </x:c>
      <x:c r="AB236" t="str">
        <x:v>High</x:v>
      </x:c>
      <x:c r="AC236" t="str"/>
      <x:c r="AD236" t="str">
        <x:v>Simulated pilot row for planning; replace with blinded ratings after generating actual clips.</x:v>
      </x:c>
    </x:row>
    <x:row r="237">
      <x:c r="A237" t="str">
        <x:v>S040-Sora-REF</x:v>
      </x:c>
      <x:c r="B237" t="str">
        <x:v>S040</x:v>
      </x:c>
      <x:c r="C237" t="str">
        <x:v>Electrical</x:v>
      </x:c>
      <x:c r="D237" t="str">
        <x:v>finish work</x:v>
      </x:c>
      <x:c r="E237" t="str">
        <x:v>leveling</x:v>
      </x:c>
      <x:c r="F237" t="n">
        <x:v>2</x:v>
      </x:c>
      <x:c r="G237" t="str">
        <x:v>level a switch plate before the final screw turn</x:v>
      </x:c>
      <x:c r="H237" t="str">
        <x:v>torpedo level</x:v>
      </x:c>
      <x:c r="I237" t="str">
        <x:v>switch plate</x:v>
      </x:c>
      <x:c r="J237" t="str">
        <x:v>Sora 2 Pro</x:v>
      </x:c>
      <x:c r="K237" t="str">
        <x:v>Reference-Guided</x:v>
      </x:c>
      <x:c r="L237" t="str">
        <x:v>Adds reference-tool/image cue and brand-agnostic visual constraints.</x:v>
      </x:c>
      <x:c r="M237" t="str">
        <x:v>Close-up realistic instructional DIY video: level a switch plate before the final screw turn. Show torpedo level working on switch plate. Hands visible, stable camera, no text overlay, neutral shop lighting. Use a generic, brand-agnostic visual reference for the torpedo level; preserve the tool shape and scale; the torpedo level must remain in contact with switch plate during the key motion.</x:v>
      </x:c>
      <x:c r="N237" s="14" t="n">
        <x:v>8</x:v>
      </x:c>
      <x:c r="O237" s="14" t="n">
        <x:v>100401</x:v>
      </x:c>
      <x:c r="P237" t="str">
        <x:v>R-D</x:v>
      </x:c>
      <x:c r="Q237" s="12" t="n">
        <x:v>4.54</x:v>
      </x:c>
      <x:c r="R237" s="12" t="n">
        <x:v>4.3</x:v>
      </x:c>
      <x:c r="S237" s="12" t="n">
        <x:v>3.73</x:v>
      </x:c>
      <x:c r="T237" s="12" t="n">
        <x:v>4.35</x:v>
      </x:c>
      <x:c r="U237" s="12" t="n">
        <x:v>3.61</x:v>
      </x:c>
      <x:c r="V237" s="12" t="n">
        <x:v>4.1</x:v>
      </x:c>
      <x:c r="W237" s="12" t="n">
        <x:f>ROUND((Q237*0.24)+(R237*0.22)+(S237*0.16)+(T237*0.18)+(U237*0.10)+(V237*0.10),2)</x:f>
        <x:v>4.19</x:v>
      </x:c>
      <x:c r="X237" t="str">
        <x:f>IF(W237&gt;=3.55,"Pass","Fail")</x:f>
        <x:v>Pass</x:v>
      </x:c>
      <x:c r="Y237" t="str">
        <x:v>minor continuity jump</x:v>
      </x:c>
      <x:c r="Z237" t="str">
        <x:v>Rater note: Best part is the pacing: it gives enough time to understand leveling without turning into a beauty shot. Minor issue: overly cinematic framing. The tool silhouette is acceptable; the mechanics are the weak part. For this electrical example, the main judgment is still whether the viewer can copy the motion.</x:v>
      </x:c>
      <x:c r="AA237" t="str">
        <x:v>Move safety language earlier in the prompt and remove cinematic camera instructions.</x:v>
      </x:c>
      <x:c r="AB237" t="str">
        <x:v>High</x:v>
      </x:c>
      <x:c r="AC237" t="str"/>
      <x:c r="AD237" t="str">
        <x:v>Simulated pilot row for planning; replace with blinded ratings after generating actual clips.</x:v>
      </x:c>
    </x:row>
    <x:row r="238">
      <x:c r="A238" t="str">
        <x:v>S040-Runway-REF</x:v>
      </x:c>
      <x:c r="B238" t="str">
        <x:v>S040</x:v>
      </x:c>
      <x:c r="C238" t="str">
        <x:v>Electrical</x:v>
      </x:c>
      <x:c r="D238" t="str">
        <x:v>finish work</x:v>
      </x:c>
      <x:c r="E238" t="str">
        <x:v>leveling</x:v>
      </x:c>
      <x:c r="F238" t="n">
        <x:v>2</x:v>
      </x:c>
      <x:c r="G238" t="str">
        <x:v>level a switch plate before the final screw turn</x:v>
      </x:c>
      <x:c r="H238" t="str">
        <x:v>torpedo level</x:v>
      </x:c>
      <x:c r="I238" t="str">
        <x:v>switch plate</x:v>
      </x:c>
      <x:c r="J238" t="str">
        <x:v>Runway Gen-4.5</x:v>
      </x:c>
      <x:c r="K238" t="str">
        <x:v>Reference-Guided</x:v>
      </x:c>
      <x:c r="L238" t="str">
        <x:v>Adds reference-tool/image cue and brand-agnostic visual constraints.</x:v>
      </x:c>
      <x:c r="M238" t="str">
        <x:v>Close-up realistic instructional DIY video: level a switch plate before the final screw turn. Show torpedo level working on switch plate. Hands visible, stable camera, no text overlay, neutral shop lighting. Use a generic, brand-agnostic visual reference for the torpedo level; preserve the tool shape and scale; the torpedo level must remain in contact with switch plate during the key motion.</x:v>
      </x:c>
      <x:c r="N238" s="14" t="n">
        <x:v>5</x:v>
      </x:c>
      <x:c r="O238" s="14" t="n">
        <x:v>100402</x:v>
      </x:c>
      <x:c r="P238" t="str">
        <x:v>R-D</x:v>
      </x:c>
      <x:c r="Q238" s="12" t="n">
        <x:v>4.43</x:v>
      </x:c>
      <x:c r="R238" s="12" t="n">
        <x:v>4.07</x:v>
      </x:c>
      <x:c r="S238" s="12" t="n">
        <x:v>4.46</x:v>
      </x:c>
      <x:c r="T238" s="12" t="n">
        <x:v>4.12</x:v>
      </x:c>
      <x:c r="U238" s="12" t="n">
        <x:v>3.82</x:v>
      </x:c>
      <x:c r="V238" s="12" t="n">
        <x:v>4.16</x:v>
      </x:c>
      <x:c r="W238" s="12" t="n">
        <x:f>ROUND((Q238*0.24)+(R238*0.22)+(S238*0.16)+(T238*0.18)+(U238*0.10)+(V238*0.10),2)</x:f>
        <x:v>4.21</x:v>
      </x:c>
      <x:c r="X238" t="str">
        <x:f>IF(W238&gt;=3.55,"Pass","Fail")</x:f>
        <x:v>Pass</x:v>
      </x:c>
      <x:c r="Y238" t="str">
        <x:v>endpoint not visible</x:v>
      </x:c>
      <x:c r="Z238" t="str">
        <x:v>Review note: This one would probably pass a quick review. The torpedo level stays believable, the start and end states are easy to read, and the only nit is that hand occludes the exact contact point. The tool silhouette is acceptable; the mechanics are the weak part. For this electrical example, the main judgment is still whether the viewer can copy the motion.</x:v>
      </x:c>
      <x:c r="AA238" t="str">
        <x:v>Move safety language earlier in the prompt and remove cinematic camera instructions.</x:v>
      </x:c>
      <x:c r="AB238" t="str">
        <x:v>High</x:v>
      </x:c>
      <x:c r="AC238" t="str"/>
      <x:c r="AD238" t="str">
        <x:v>Synthetic benchmark entry; generated clip URL should be filled after API run.</x:v>
      </x:c>
    </x:row>
    <x:row r="239">
      <x:c r="A239" t="str">
        <x:v>S040-Kling-REF</x:v>
      </x:c>
      <x:c r="B239" t="str">
        <x:v>S040</x:v>
      </x:c>
      <x:c r="C239" t="str">
        <x:v>Electrical</x:v>
      </x:c>
      <x:c r="D239" t="str">
        <x:v>finish work</x:v>
      </x:c>
      <x:c r="E239" t="str">
        <x:v>leveling</x:v>
      </x:c>
      <x:c r="F239" t="n">
        <x:v>2</x:v>
      </x:c>
      <x:c r="G239" t="str">
        <x:v>level a switch plate before the final screw turn</x:v>
      </x:c>
      <x:c r="H239" t="str">
        <x:v>torpedo level</x:v>
      </x:c>
      <x:c r="I239" t="str">
        <x:v>switch plate</x:v>
      </x:c>
      <x:c r="J239" t="str">
        <x:v>Kling v3.0 (Replicate)</x:v>
      </x:c>
      <x:c r="K239" t="str">
        <x:v>Reference-Guided</x:v>
      </x:c>
      <x:c r="L239" t="str">
        <x:v>Adds reference-tool/image cue and brand-agnostic visual constraints.</x:v>
      </x:c>
      <x:c r="M239" t="str">
        <x:v>Close-up realistic instructional DIY video: level a switch plate before the final screw turn. Show torpedo level working on switch plate. Hands visible, stable camera, no text overlay, neutral shop lighting. Use a generic, brand-agnostic visual reference for the torpedo level; preserve the tool shape and scale; the torpedo level must remain in contact with switch plate during the key motion.</x:v>
      </x:c>
      <x:c r="N239" s="14" t="n">
        <x:v>10</x:v>
      </x:c>
      <x:c r="O239" s="14" t="n">
        <x:v>100403</x:v>
      </x:c>
      <x:c r="P239" t="str">
        <x:v>R-A</x:v>
      </x:c>
      <x:c r="Q239" s="12" t="n">
        <x:v>4.13</x:v>
      </x:c>
      <x:c r="R239" s="12" t="n">
        <x:v>4.23</x:v>
      </x:c>
      <x:c r="S239" s="12" t="n">
        <x:v>3.78</x:v>
      </x:c>
      <x:c r="T239" s="12" t="n">
        <x:v>3.68</x:v>
      </x:c>
      <x:c r="U239" s="12" t="n">
        <x:v>3.37</x:v>
      </x:c>
      <x:c r="V239" s="12" t="n">
        <x:v>3.76</x:v>
      </x:c>
      <x:c r="W239" s="12" t="n">
        <x:f>ROUND((Q239*0.24)+(R239*0.22)+(S239*0.16)+(T239*0.18)+(U239*0.10)+(V239*0.10),2)</x:f>
        <x:v>3.9</x:v>
      </x:c>
      <x:c r="X239" t="str">
        <x:f>IF(W239&gt;=3.55,"Pass","Fail")</x:f>
        <x:v>Pass</x:v>
      </x:c>
      <x:c r="Y239" t="str">
        <x:v>endpoint not visible</x:v>
      </x:c>
      <x:c r="Z239" t="str">
        <x:v>QA note: Usable, but I would not show it without review. The torpedo level is recognizable, yet the exact contact point is hard to see when the hand crosses the frame. I would keep the same camera angle but ask for a tighter view of the contact point. For this electrical example, the main judgment is still whether the viewer can copy the motion.</x:v>
      </x:c>
      <x:c r="AA239" t="str">
        <x:v>Use a reference image for the torpedo level and specify its grip/orientation in plain language.</x:v>
      </x:c>
      <x:c r="AB239" t="str">
        <x:v>High</x:v>
      </x:c>
      <x:c r="AC239" t="str"/>
      <x:c r="AD239" t="str">
        <x:v>Synthetic benchmark entry; generated clip URL should be filled after API run.</x:v>
      </x:c>
    </x:row>
    <x:row r="240">
      <x:c r="A240" t="str">
        <x:v>S040-Pika-REF</x:v>
      </x:c>
      <x:c r="B240" t="str">
        <x:v>S040</x:v>
      </x:c>
      <x:c r="C240" t="str">
        <x:v>Electrical</x:v>
      </x:c>
      <x:c r="D240" t="str">
        <x:v>finish work</x:v>
      </x:c>
      <x:c r="E240" t="str">
        <x:v>leveling</x:v>
      </x:c>
      <x:c r="F240" t="n">
        <x:v>2</x:v>
      </x:c>
      <x:c r="G240" t="str">
        <x:v>level a switch plate before the final screw turn</x:v>
      </x:c>
      <x:c r="H240" t="str">
        <x:v>torpedo level</x:v>
      </x:c>
      <x:c r="I240" t="str">
        <x:v>switch plate</x:v>
      </x:c>
      <x:c r="J240" t="str">
        <x:v>Pika 2.2</x:v>
      </x:c>
      <x:c r="K240" t="str">
        <x:v>Reference-Guided</x:v>
      </x:c>
      <x:c r="L240" t="str">
        <x:v>Adds reference-tool/image cue and brand-agnostic visual constraints.</x:v>
      </x:c>
      <x:c r="M240" t="str">
        <x:v>Close-up realistic instructional DIY video: level a switch plate before the final screw turn. Show torpedo level working on switch plate. Hands visible, stable camera, no text overlay, neutral shop lighting. Use a generic, brand-agnostic visual reference for the torpedo level; preserve the tool shape and scale; the torpedo level must remain in contact with switch plate during the key motion.</x:v>
      </x:c>
      <x:c r="N240" s="14" t="n">
        <x:v>5</x:v>
      </x:c>
      <x:c r="O240" s="14" t="n">
        <x:v>100404</x:v>
      </x:c>
      <x:c r="P240" t="str">
        <x:v>R-E</x:v>
      </x:c>
      <x:c r="Q240" s="12" t="n">
        <x:v>3.14</x:v>
      </x:c>
      <x:c r="R240" s="12" t="n">
        <x:v>3.44</x:v>
      </x:c>
      <x:c r="S240" s="12" t="n">
        <x:v>3.68</x:v>
      </x:c>
      <x:c r="T240" s="12" t="n">
        <x:v>3.9</x:v>
      </x:c>
      <x:c r="U240" s="12" t="n">
        <x:v>3.81</x:v>
      </x:c>
      <x:c r="V240" s="12" t="n">
        <x:v>4.19</x:v>
      </x:c>
      <x:c r="W240" s="12" t="n">
        <x:f>ROUND((Q240*0.24)+(R240*0.22)+(S240*0.16)+(T240*0.18)+(U240*0.10)+(V240*0.10),2)</x:f>
        <x:v>3.6</x:v>
      </x:c>
      <x:c r="X240" t="str">
        <x:f>IF(W240&gt;=3.55,"Pass","Fail")</x:f>
        <x:v>Pass</x:v>
      </x:c>
      <x:c r="Y240" t="str">
        <x:v>thread direction unclear</x:v>
      </x:c>
      <x:c r="Z240" t="str">
        <x:v>QA note: I would keep this as a rough candidate. It communicates the step, although the failure mode makes it weaker than a real sourced clip: thread direction unclear. The clip needs a verifier pass before it can enter the training pool. For this electrical example, the main judgment is still whether the viewer can copy the motion.</x:v>
      </x:c>
      <x:c r="AA240" t="str">
        <x:v>Specify the exact contact point and do not allow the hand to cover it.</x:v>
      </x:c>
      <x:c r="AB240" t="str">
        <x:v>Medium</x:v>
      </x:c>
      <x:c r="AC240" t="str"/>
      <x:c r="AD240" t="str">
        <x:v>Simulated pilot row for planning; replace with blinded ratings after generating actual clips.</x:v>
      </x:c>
    </x:row>
    <x:row r="241">
      <x:c r="A241" t="str">
        <x:v>S040-Vidu-REF</x:v>
      </x:c>
      <x:c r="B241" t="str">
        <x:v>S040</x:v>
      </x:c>
      <x:c r="C241" t="str">
        <x:v>Electrical</x:v>
      </x:c>
      <x:c r="D241" t="str">
        <x:v>finish work</x:v>
      </x:c>
      <x:c r="E241" t="str">
        <x:v>leveling</x:v>
      </x:c>
      <x:c r="F241" t="n">
        <x:v>2</x:v>
      </x:c>
      <x:c r="G241" t="str">
        <x:v>level a switch plate before the final screw turn</x:v>
      </x:c>
      <x:c r="H241" t="str">
        <x:v>torpedo level</x:v>
      </x:c>
      <x:c r="I241" t="str">
        <x:v>switch plate</x:v>
      </x:c>
      <x:c r="J241" t="str">
        <x:v>Vidu 2.0</x:v>
      </x:c>
      <x:c r="K241" t="str">
        <x:v>Reference-Guided</x:v>
      </x:c>
      <x:c r="L241" t="str">
        <x:v>Adds reference-tool/image cue and brand-agnostic visual constraints.</x:v>
      </x:c>
      <x:c r="M241" t="str">
        <x:v>Close-up realistic instructional DIY video: level a switch plate before the final screw turn. Show torpedo level working on switch plate. Hands visible, stable camera, no text overlay, neutral shop lighting. Use a generic, brand-agnostic visual reference for the torpedo level; preserve the tool shape and scale; the torpedo level must remain in contact with switch plate during the key motion.</x:v>
      </x:c>
      <x:c r="N241" s="14" t="n">
        <x:v>5</x:v>
      </x:c>
      <x:c r="O241" s="14" t="n">
        <x:v>100405</x:v>
      </x:c>
      <x:c r="P241" t="str">
        <x:v>R-D</x:v>
      </x:c>
      <x:c r="Q241" s="12" t="n">
        <x:v>3.57</x:v>
      </x:c>
      <x:c r="R241" s="12" t="n">
        <x:v>3.66</x:v>
      </x:c>
      <x:c r="S241" s="12" t="n">
        <x:v>3.74</x:v>
      </x:c>
      <x:c r="T241" s="12" t="n">
        <x:v>3.25</x:v>
      </x:c>
      <x:c r="U241" s="12" t="n">
        <x:v>3.27</x:v>
      </x:c>
      <x:c r="V241" s="12" t="n">
        <x:v>3.45</x:v>
      </x:c>
      <x:c r="W241" s="12" t="n">
        <x:f>ROUND((Q241*0.24)+(R241*0.22)+(S241*0.16)+(T241*0.18)+(U241*0.10)+(V241*0.10),2)</x:f>
        <x:v>3.52</x:v>
      </x:c>
      <x:c r="X241" t="str">
        <x:f>IF(W241&gt;=3.55,"Pass","Fail")</x:f>
        <x:v>Fail</x:v>
      </x:c>
      <x:c r="Y241" t="str">
        <x:v>wrong grip on tool</x:v>
      </x:c>
      <x:c r="Z241" t="str">
        <x:v>Clip review: The generated clip loses the procedure. I would re-run with a reference frame and a stricter Action-Object-Tool prompt. The issue is subtle visually, but it matters because the clip is supposed to teach the technique. For this electrical example, the main judgment is still whether the viewer can copy the motion.</x:v>
      </x:c>
      <x:c r="AA241" t="str">
        <x:v>Move safety language earlier in the prompt and remove cinematic camera instructions.</x:v>
      </x:c>
      <x:c r="AB241" t="str">
        <x:v>Medium</x:v>
      </x:c>
      <x:c r="AC241" t="str"/>
      <x:c r="AD241" t="str">
        <x:v>Synthetic benchmark entry; generated clip URL should be filled after API run.</x:v>
      </x:c>
    </x:row>
    <x:row r="242">
      <x:c r="A242" t="str">
        <x:v>S041-Veo-SEQ</x:v>
      </x:c>
      <x:c r="B242" t="str">
        <x:v>S041</x:v>
      </x:c>
      <x:c r="C242" t="str">
        <x:v>Woodworking</x:v>
      </x:c>
      <x:c r="D242" t="str">
        <x:v>measuring</x:v>
      </x:c>
      <x:c r="E242" t="str">
        <x:v>measuring</x:v>
      </x:c>
      <x:c r="F242" t="n">
        <x:v>2</x:v>
      </x:c>
      <x:c r="G242" t="str">
        <x:v>measure twelve inches from the board end and mark the cut line</x:v>
      </x:c>
      <x:c r="H242" t="str">
        <x:v>tape measure, pencil</x:v>
      </x:c>
      <x:c r="I242" t="str">
        <x:v>pine board</x:v>
      </x:c>
      <x:c r="J242" t="str">
        <x:v>Veo 3.1</x:v>
      </x:c>
      <x:c r="K242" t="str">
        <x:v>Sequential Context</x:v>
      </x:c>
      <x:c r="L242" t="str">
        <x:v>Provides previous and next step for continuity without asking for them to appear.</x:v>
      </x:c>
      <x:c r="M242" t="str">
        <x:v>Close-up realistic instructional DIY video: measure twelve inches from the board end and mark the cut line. Show tape measure, pencil working on pine board. Hands visible, stable camera, no text overlay, neutral shop lighting. This is the middle clip in a sequence. Previous step has already prepared the work area; next step will verify the result. Keep the same workpiece, camera distance, and hand orientation.</x:v>
      </x:c>
      <x:c r="N242" s="14" t="n">
        <x:v>8</x:v>
      </x:c>
      <x:c r="O242" s="14" t="n">
        <x:v>100410</x:v>
      </x:c>
      <x:c r="P242" t="str">
        <x:v>R-E</x:v>
      </x:c>
      <x:c r="Q242" s="12" t="n">
        <x:v>4.43</x:v>
      </x:c>
      <x:c r="R242" s="12" t="n">
        <x:v>4.47</x:v>
      </x:c>
      <x:c r="S242" s="12" t="n">
        <x:v>4.25</x:v>
      </x:c>
      <x:c r="T242" s="12" t="n">
        <x:v>4.59</x:v>
      </x:c>
      <x:c r="U242" s="12" t="n">
        <x:v>4.61</x:v>
      </x:c>
      <x:c r="V242" s="12" t="n">
        <x:v>4.65</x:v>
      </x:c>
      <x:c r="W242" s="12" t="n">
        <x:f>ROUND((Q242*0.24)+(R242*0.22)+(S242*0.16)+(T242*0.18)+(U242*0.10)+(V242*0.10),2)</x:f>
        <x:v>4.48</x:v>
      </x:c>
      <x:c r="X242" t="str">
        <x:f>IF(W242&gt;=3.55,"Pass","Fail")</x:f>
        <x:v>Pass</x:v>
      </x:c>
      <x:c r="Y242" t="str">
        <x:v>none</x:v>
      </x:c>
      <x:c r="Z242" t="str">
        <x:v>Clip review: Clear enough for a learner. The workpiece does not wander and the camera stays on the pine board; I would still add a freeze or caption after generation. The tool silhouette is acceptable; the mechanics are the weak part. Continuity is useful here, but it cannot replace showing the actual contact point.</x:v>
      </x:c>
      <x:c r="AA242" t="str">
        <x:v>No immediate re-run; keep as candidate and verify with a second rater.</x:v>
      </x:c>
      <x:c r="AB242" t="str">
        <x:v>Medium-High</x:v>
      </x:c>
      <x:c r="AC242" t="str"/>
      <x:c r="AD242" t="str">
        <x:v>Synthetic benchmark entry; generated clip URL should be filled after API run.</x:v>
      </x:c>
    </x:row>
    <x:row r="243">
      <x:c r="A243" t="str">
        <x:v>S041-Sora-SEQ</x:v>
      </x:c>
      <x:c r="B243" t="str">
        <x:v>S041</x:v>
      </x:c>
      <x:c r="C243" t="str">
        <x:v>Woodworking</x:v>
      </x:c>
      <x:c r="D243" t="str">
        <x:v>measuring</x:v>
      </x:c>
      <x:c r="E243" t="str">
        <x:v>measuring</x:v>
      </x:c>
      <x:c r="F243" t="n">
        <x:v>2</x:v>
      </x:c>
      <x:c r="G243" t="str">
        <x:v>measure twelve inches from the board end and mark the cut line</x:v>
      </x:c>
      <x:c r="H243" t="str">
        <x:v>tape measure, pencil</x:v>
      </x:c>
      <x:c r="I243" t="str">
        <x:v>pine board</x:v>
      </x:c>
      <x:c r="J243" t="str">
        <x:v>Sora 2 Pro</x:v>
      </x:c>
      <x:c r="K243" t="str">
        <x:v>Sequential Context</x:v>
      </x:c>
      <x:c r="L243" t="str">
        <x:v>Provides previous and next step for continuity without asking for them to appear.</x:v>
      </x:c>
      <x:c r="M243" t="str">
        <x:v>Close-up realistic instructional DIY video: measure twelve inches from the board end and mark the cut line. Show tape measure, pencil working on pine board. Hands visible, stable camera, no text overlay, neutral shop lighting. This is the middle clip in a sequence. Previous step has already prepared the work area; next step will verify the result. Keep the same workpiece, camera distance, and hand orientation.</x:v>
      </x:c>
      <x:c r="N243" s="14" t="n">
        <x:v>8</x:v>
      </x:c>
      <x:c r="O243" s="14" t="n">
        <x:v>100411</x:v>
      </x:c>
      <x:c r="P243" t="str">
        <x:v>R-E</x:v>
      </x:c>
      <x:c r="Q243" s="12" t="n">
        <x:v>4.46</x:v>
      </x:c>
      <x:c r="R243" s="12" t="n">
        <x:v>4.1</x:v>
      </x:c>
      <x:c r="S243" s="12" t="n">
        <x:v>3.99</x:v>
      </x:c>
      <x:c r="T243" s="12" t="n">
        <x:v>4.1</x:v>
      </x:c>
      <x:c r="U243" s="12" t="n">
        <x:v>3.9</x:v>
      </x:c>
      <x:c r="V243" s="12" t="n">
        <x:v>4.37</x:v>
      </x:c>
      <x:c r="W243" s="12" t="n">
        <x:f>ROUND((Q243*0.24)+(R243*0.22)+(S243*0.16)+(T243*0.18)+(U243*0.10)+(V243*0.10),2)</x:f>
        <x:v>4.18</x:v>
      </x:c>
      <x:c r="X243" t="str">
        <x:f>IF(W243&gt;=3.55,"Pass","Fail")</x:f>
        <x:v>Pass</x:v>
      </x:c>
      <x:c r="Y243" t="str">
        <x:v>endpoint not visible</x:v>
      </x:c>
      <x:c r="Z243" t="str">
        <x:v>Human check: This one would probably pass a quick review. The tape measure, pencil stays believable, the start and end states are easy to read, and the only nit is that tool rotation is a beat late. This would be safer as a reference-aided run than a text-only run. Continuity is useful here, but it cannot replace showing the actual contact point.</x:v>
      </x:c>
      <x:c r="AA243" t="str">
        <x:v>Ask for a static close-up and require the tape measure, pencil to touch the pine board before any motion starts.</x:v>
      </x:c>
      <x:c r="AB243" t="str">
        <x:v>Medium</x:v>
      </x:c>
      <x:c r="AC243" t="str"/>
      <x:c r="AD243" t="str">
        <x:v>Synthetic benchmark entry; generated clip URL should be filled after API run.</x:v>
      </x:c>
    </x:row>
    <x:row r="244">
      <x:c r="A244" t="str">
        <x:v>S041-Runway-SEQ</x:v>
      </x:c>
      <x:c r="B244" t="str">
        <x:v>S041</x:v>
      </x:c>
      <x:c r="C244" t="str">
        <x:v>Woodworking</x:v>
      </x:c>
      <x:c r="D244" t="str">
        <x:v>measuring</x:v>
      </x:c>
      <x:c r="E244" t="str">
        <x:v>measuring</x:v>
      </x:c>
      <x:c r="F244" t="n">
        <x:v>2</x:v>
      </x:c>
      <x:c r="G244" t="str">
        <x:v>measure twelve inches from the board end and mark the cut line</x:v>
      </x:c>
      <x:c r="H244" t="str">
        <x:v>tape measure, pencil</x:v>
      </x:c>
      <x:c r="I244" t="str">
        <x:v>pine board</x:v>
      </x:c>
      <x:c r="J244" t="str">
        <x:v>Runway Gen-4.5</x:v>
      </x:c>
      <x:c r="K244" t="str">
        <x:v>Sequential Context</x:v>
      </x:c>
      <x:c r="L244" t="str">
        <x:v>Provides previous and next step for continuity without asking for them to appear.</x:v>
      </x:c>
      <x:c r="M244" t="str">
        <x:v>Close-up realistic instructional DIY video: measure twelve inches from the board end and mark the cut line. Show tape measure, pencil working on pine board. Hands visible, stable camera, no text overlay, neutral shop lighting. This is the middle clip in a sequence. Previous step has already prepared the work area; next step will verify the result. Keep the same workpiece, camera distance, and hand orientation.</x:v>
      </x:c>
      <x:c r="N244" s="14" t="n">
        <x:v>5</x:v>
      </x:c>
      <x:c r="O244" s="14" t="n">
        <x:v>100412</x:v>
      </x:c>
      <x:c r="P244" t="str">
        <x:v>R-C</x:v>
      </x:c>
      <x:c r="Q244" s="12" t="n">
        <x:v>3.78</x:v>
      </x:c>
      <x:c r="R244" s="12" t="n">
        <x:v>4.15</x:v>
      </x:c>
      <x:c r="S244" s="12" t="n">
        <x:v>3.82</x:v>
      </x:c>
      <x:c r="T244" s="12" t="n">
        <x:v>4.51</x:v>
      </x:c>
      <x:c r="U244" s="12" t="n">
        <x:v>3.93</x:v>
      </x:c>
      <x:c r="V244" s="12" t="n">
        <x:v>4.58</x:v>
      </x:c>
      <x:c r="W244" s="12" t="n">
        <x:f>ROUND((Q244*0.24)+(R244*0.22)+(S244*0.16)+(T244*0.18)+(U244*0.10)+(V244*0.10),2)</x:f>
        <x:v>4.09</x:v>
      </x:c>
      <x:c r="X244" t="str">
        <x:f>IF(W244&gt;=3.55,"Pass","Fail")</x:f>
        <x:v>Pass</x:v>
      </x:c>
      <x:c r="Y244" t="str">
        <x:v>motion slightly compressed</x:v>
      </x:c>
      <x:c r="Z244" t="str">
        <x:v>Human check: Usable, but I would not show it without review. The tape measure, pencil is recognizable, yet the exact contact point is hard to see when the hand crosses the frame. The mistake appears late, so a simple thumbnail review would probably miss it. Continuity is useful here, but it cannot replace showing the actual contact point.</x:v>
      </x:c>
      <x:c r="AA244" t="str">
        <x:v>Specify the exact contact point and do not allow the hand to cover it.</x:v>
      </x:c>
      <x:c r="AB244" t="str">
        <x:v>Medium-High</x:v>
      </x:c>
      <x:c r="AC244" t="str"/>
      <x:c r="AD244" t="str">
        <x:v>Synthetic benchmark entry; generated clip URL should be filled after API run.</x:v>
      </x:c>
    </x:row>
    <x:row r="245">
      <x:c r="A245" t="str">
        <x:v>S041-Kling-SEQ</x:v>
      </x:c>
      <x:c r="B245" t="str">
        <x:v>S041</x:v>
      </x:c>
      <x:c r="C245" t="str">
        <x:v>Woodworking</x:v>
      </x:c>
      <x:c r="D245" t="str">
        <x:v>measuring</x:v>
      </x:c>
      <x:c r="E245" t="str">
        <x:v>measuring</x:v>
      </x:c>
      <x:c r="F245" t="n">
        <x:v>2</x:v>
      </x:c>
      <x:c r="G245" t="str">
        <x:v>measure twelve inches from the board end and mark the cut line</x:v>
      </x:c>
      <x:c r="H245" t="str">
        <x:v>tape measure, pencil</x:v>
      </x:c>
      <x:c r="I245" t="str">
        <x:v>pine board</x:v>
      </x:c>
      <x:c r="J245" t="str">
        <x:v>Kling v3.0 (Replicate)</x:v>
      </x:c>
      <x:c r="K245" t="str">
        <x:v>Sequential Context</x:v>
      </x:c>
      <x:c r="L245" t="str">
        <x:v>Provides previous and next step for continuity without asking for them to appear.</x:v>
      </x:c>
      <x:c r="M245" t="str">
        <x:v>Close-up realistic instructional DIY video: measure twelve inches from the board end and mark the cut line. Show tape measure, pencil working on pine board. Hands visible, stable camera, no text overlay, neutral shop lighting. This is the middle clip in a sequence. Previous step has already prepared the work area; next step will verify the result. Keep the same workpiece, camera distance, and hand orientation.</x:v>
      </x:c>
      <x:c r="N245" s="14" t="n">
        <x:v>10</x:v>
      </x:c>
      <x:c r="O245" s="14" t="n">
        <x:v>100413</x:v>
      </x:c>
      <x:c r="P245" t="str">
        <x:v>R-D</x:v>
      </x:c>
      <x:c r="Q245" s="12" t="n">
        <x:v>3.9</x:v>
      </x:c>
      <x:c r="R245" s="12" t="n">
        <x:v>4.23</x:v>
      </x:c>
      <x:c r="S245" s="12" t="n">
        <x:v>3.68</x:v>
      </x:c>
      <x:c r="T245" s="12" t="n">
        <x:v>4.3</x:v>
      </x:c>
      <x:c r="U245" s="12" t="n">
        <x:v>3.78</x:v>
      </x:c>
      <x:c r="V245" s="12" t="n">
        <x:v>4.5</x:v>
      </x:c>
      <x:c r="W245" s="12" t="n">
        <x:f>ROUND((Q245*0.24)+(R245*0.22)+(S245*0.16)+(T245*0.18)+(U245*0.10)+(V245*0.10),2)</x:f>
        <x:v>4.06</x:v>
      </x:c>
      <x:c r="X245" t="str">
        <x:f>IF(W245&gt;=3.55,"Pass","Fail")</x:f>
        <x:v>Pass</x:v>
      </x:c>
      <x:c r="Y245" t="str">
        <x:v>contact point hidden</x:v>
      </x:c>
      <x:c r="Z245" t="str">
        <x:v>Review note: The clip has the right ingredients but not quite the right mechanics. It needs a tighter prompt about grip, contact, and the end position. The mistake appears late, so a simple thumbnail review would probably miss it. Continuity is useful here, but it cannot replace showing the actual contact point.</x:v>
      </x:c>
      <x:c r="AA245" t="str">
        <x:v>Use a reference image for the tape measure, pencil and specify its grip/orientation in plain language.</x:v>
      </x:c>
      <x:c r="AB245" t="str">
        <x:v>Medium</x:v>
      </x:c>
      <x:c r="AC245" t="str"/>
      <x:c r="AD245" t="str">
        <x:v>Synthetic benchmark entry; generated clip URL should be filled after API run.</x:v>
      </x:c>
    </x:row>
    <x:row r="246">
      <x:c r="A246" t="str">
        <x:v>S041-Pika-SEQ</x:v>
      </x:c>
      <x:c r="B246" t="str">
        <x:v>S041</x:v>
      </x:c>
      <x:c r="C246" t="str">
        <x:v>Woodworking</x:v>
      </x:c>
      <x:c r="D246" t="str">
        <x:v>measuring</x:v>
      </x:c>
      <x:c r="E246" t="str">
        <x:v>measuring</x:v>
      </x:c>
      <x:c r="F246" t="n">
        <x:v>2</x:v>
      </x:c>
      <x:c r="G246" t="str">
        <x:v>measure twelve inches from the board end and mark the cut line</x:v>
      </x:c>
      <x:c r="H246" t="str">
        <x:v>tape measure, pencil</x:v>
      </x:c>
      <x:c r="I246" t="str">
        <x:v>pine board</x:v>
      </x:c>
      <x:c r="J246" t="str">
        <x:v>Pika 2.2</x:v>
      </x:c>
      <x:c r="K246" t="str">
        <x:v>Sequential Context</x:v>
      </x:c>
      <x:c r="L246" t="str">
        <x:v>Provides previous and next step for continuity without asking for them to appear.</x:v>
      </x:c>
      <x:c r="M246" t="str">
        <x:v>Close-up realistic instructional DIY video: measure twelve inches from the board end and mark the cut line. Show tape measure, pencil working on pine board. Hands visible, stable camera, no text overlay, neutral shop lighting. This is the middle clip in a sequence. Previous step has already prepared the work area; next step will verify the result. Keep the same workpiece, camera distance, and hand orientation.</x:v>
      </x:c>
      <x:c r="N246" s="14" t="n">
        <x:v>5</x:v>
      </x:c>
      <x:c r="O246" s="14" t="n">
        <x:v>100414</x:v>
      </x:c>
      <x:c r="P246" t="str">
        <x:v>R-D</x:v>
      </x:c>
      <x:c r="Q246" s="12" t="n">
        <x:v>3.47</x:v>
      </x:c>
      <x:c r="R246" s="12" t="n">
        <x:v>3.62</x:v>
      </x:c>
      <x:c r="S246" s="12" t="n">
        <x:v>3.52</x:v>
      </x:c>
      <x:c r="T246" s="12" t="n">
        <x:v>4.07</x:v>
      </x:c>
      <x:c r="U246" s="12" t="n">
        <x:v>3.57</x:v>
      </x:c>
      <x:c r="V246" s="12" t="n">
        <x:v>3.88</x:v>
      </x:c>
      <x:c r="W246" s="12" t="n">
        <x:f>ROUND((Q246*0.24)+(R246*0.22)+(S246*0.16)+(T246*0.18)+(U246*0.10)+(V246*0.10),2)</x:f>
        <x:v>3.67</x:v>
      </x:c>
      <x:c r="X246" t="str">
        <x:f>IF(W246&gt;=3.55,"Pass","Fail")</x:f>
        <x:v>Pass</x:v>
      </x:c>
      <x:c r="Y246" t="str">
        <x:v>thread direction unclear</x:v>
      </x:c>
      <x:c r="Z246" t="str">
        <x:v>Rater note: I would keep this as a rough candidate. It communicates the step, although the failure mode makes it weaker than a real sourced clip: thread direction unclear. The next prompt should slow the final second instead of adding more scene detail. Continuity is useful here, but it cannot replace showing the actual contact point.</x:v>
      </x:c>
      <x:c r="AA246" t="str">
        <x:v>Use sequential context only for continuity, not for adding previous/next steps into the frame.</x:v>
      </x:c>
      <x:c r="AB246" t="str">
        <x:v>High</x:v>
      </x:c>
      <x:c r="AC246" t="str"/>
      <x:c r="AD246" t="str">
        <x:v>Mock rater record for experiment design; audit against real video outputs before publication.</x:v>
      </x:c>
    </x:row>
    <x:row r="247">
      <x:c r="A247" t="str">
        <x:v>S041-Vidu-SEQ</x:v>
      </x:c>
      <x:c r="B247" t="str">
        <x:v>S041</x:v>
      </x:c>
      <x:c r="C247" t="str">
        <x:v>Woodworking</x:v>
      </x:c>
      <x:c r="D247" t="str">
        <x:v>measuring</x:v>
      </x:c>
      <x:c r="E247" t="str">
        <x:v>measuring</x:v>
      </x:c>
      <x:c r="F247" t="n">
        <x:v>2</x:v>
      </x:c>
      <x:c r="G247" t="str">
        <x:v>measure twelve inches from the board end and mark the cut line</x:v>
      </x:c>
      <x:c r="H247" t="str">
        <x:v>tape measure, pencil</x:v>
      </x:c>
      <x:c r="I247" t="str">
        <x:v>pine board</x:v>
      </x:c>
      <x:c r="J247" t="str">
        <x:v>Vidu 2.0</x:v>
      </x:c>
      <x:c r="K247" t="str">
        <x:v>Sequential Context</x:v>
      </x:c>
      <x:c r="L247" t="str">
        <x:v>Provides previous and next step for continuity without asking for them to appear.</x:v>
      </x:c>
      <x:c r="M247" t="str">
        <x:v>Close-up realistic instructional DIY video: measure twelve inches from the board end and mark the cut line. Show tape measure, pencil working on pine board. Hands visible, stable camera, no text overlay, neutral shop lighting. This is the middle clip in a sequence. Previous step has already prepared the work area; next step will verify the result. Keep the same workpiece, camera distance, and hand orientation.</x:v>
      </x:c>
      <x:c r="N247" s="14" t="n">
        <x:v>5</x:v>
      </x:c>
      <x:c r="O247" s="14" t="n">
        <x:v>100415</x:v>
      </x:c>
      <x:c r="P247" t="str">
        <x:v>R-D</x:v>
      </x:c>
      <x:c r="Q247" s="12" t="n">
        <x:v>3.48</x:v>
      </x:c>
      <x:c r="R247" s="12" t="n">
        <x:v>3.52</x:v>
      </x:c>
      <x:c r="S247" s="12" t="n">
        <x:v>3.44</x:v>
      </x:c>
      <x:c r="T247" s="12" t="n">
        <x:v>3.91</x:v>
      </x:c>
      <x:c r="U247" s="12" t="n">
        <x:v>3.72</x:v>
      </x:c>
      <x:c r="V247" s="12" t="n">
        <x:v>2.94</x:v>
      </x:c>
      <x:c r="W247" s="12" t="n">
        <x:f>ROUND((Q247*0.24)+(R247*0.22)+(S247*0.16)+(T247*0.18)+(U247*0.10)+(V247*0.10),2)</x:f>
        <x:v>3.53</x:v>
      </x:c>
      <x:c r="X247" t="str">
        <x:f>IF(W247&gt;=3.55,"Pass","Fail")</x:f>
        <x:v>Fail</x:v>
      </x:c>
      <x:c r="Y247" t="str">
        <x:v>tool floats near object</x:v>
      </x:c>
      <x:c r="Z247" t="str">
        <x:v>Human check: Too much is being implied. The tape measure, pencil and pine board are in the scene, but the motion does not demonstrate the actual repair step. The tool silhouette is acceptable; the mechanics are the weak part. Continuity is useful here, but it cannot replace showing the actual contact point.</x:v>
      </x:c>
      <x:c r="AA247" t="str">
        <x:v>Add a one-sentence end-state requirement: viewer must see the completed measuring result for one full second.</x:v>
      </x:c>
      <x:c r="AB247" t="str">
        <x:v>Medium-High</x:v>
      </x:c>
      <x:c r="AC247" t="str"/>
      <x:c r="AD247" t="str">
        <x:v>Synthetic benchmark entry; generated clip URL should be filled after API run.</x:v>
      </x:c>
    </x:row>
    <x:row r="248">
      <x:c r="A248" t="str">
        <x:v>S042-Veo-CON</x:v>
      </x:c>
      <x:c r="B248" t="str">
        <x:v>S042</x:v>
      </x:c>
      <x:c r="C248" t="str">
        <x:v>Woodworking</x:v>
      </x:c>
      <x:c r="D248" t="str">
        <x:v>cutting</x:v>
      </x:c>
      <x:c r="E248" t="str">
        <x:v>cutting</x:v>
      </x:c>
      <x:c r="F248" t="n">
        <x:v>4</x:v>
      </x:c>
      <x:c r="G248" t="str">
        <x:v>cut along a pencil line with a handsaw</x:v>
      </x:c>
      <x:c r="H248" t="str">
        <x:v>handsaw</x:v>
      </x:c>
      <x:c r="I248" t="str">
        <x:v>pine board on sawhorses</x:v>
      </x:c>
      <x:c r="J248" t="str">
        <x:v>Veo 3.1</x:v>
      </x:c>
      <x:c r="K248" t="str">
        <x:v>Constraint-Rich Negative Prompt</x:v>
      </x:c>
      <x:c r="L248" t="str">
        <x:v>Adds concise no-floating-tools/no-extra-objects/no-morphing constraints.</x:v>
      </x:c>
      <x:c r="M248" t="str">
        <x:v>Close-up realistic instructional DIY video: cut along a pencil line with a handsaw. Show handsaw working on pine board on sawhorses. Hands visible, stable camera, no text overlay, neutral shop lighting. Constraints: no floating tools, no extra tools, no morphing hands, no reversed motion, no impossible deformation, no dramatic camera spin. Keep the full action legible.</x:v>
      </x:c>
      <x:c r="N248" s="14" t="n">
        <x:v>8</x:v>
      </x:c>
      <x:c r="O248" s="14" t="n">
        <x:v>100420</x:v>
      </x:c>
      <x:c r="P248" t="str">
        <x:v>R-D</x:v>
      </x:c>
      <x:c r="Q248" s="12" t="n">
        <x:v>4.09</x:v>
      </x:c>
      <x:c r="R248" s="12" t="n">
        <x:v>3.75</x:v>
      </x:c>
      <x:c r="S248" s="12" t="n">
        <x:v>4.4</x:v>
      </x:c>
      <x:c r="T248" s="12" t="n">
        <x:v>4.15</x:v>
      </x:c>
      <x:c r="U248" s="12" t="n">
        <x:v>4.31</x:v>
      </x:c>
      <x:c r="V248" s="12" t="n">
        <x:v>3.83</x:v>
      </x:c>
      <x:c r="W248" s="12" t="n">
        <x:f>ROUND((Q248*0.24)+(R248*0.22)+(S248*0.16)+(T248*0.18)+(U248*0.10)+(V248*0.10),2)</x:f>
        <x:v>4.07</x:v>
      </x:c>
      <x:c r="X248" t="str">
        <x:f>IF(W248&gt;=3.55,"Pass","Fail")</x:f>
        <x:v>Pass</x:v>
      </x:c>
      <x:c r="Y248" t="str">
        <x:v>tool pose a little soft</x:v>
      </x:c>
      <x:c r="Z248" t="str">
        <x:v>Human check: Looks plausible at first glance. On a second pass, the pine board on sawhorses shifts slightly and the model seems to infer the outcome rather than show the full cutting. This would be safer as a reference-aided run than a text-only run. The negative constraints help, but they do not fully solve the mechanics.</x:v>
      </x:c>
      <x:c r="AA248" t="str">
        <x:v>Ask for a static close-up and require the handsaw to touch the pine board on sawhorses before any motion starts.</x:v>
      </x:c>
      <x:c r="AB248" t="str">
        <x:v>Medium-High</x:v>
      </x:c>
      <x:c r="AC248" t="str"/>
      <x:c r="AD248" t="str">
        <x:v>Simulated pilot row for planning; replace with blinded ratings after generating actual clips.</x:v>
      </x:c>
    </x:row>
    <x:row r="249">
      <x:c r="A249" t="str">
        <x:v>S042-Sora-CON</x:v>
      </x:c>
      <x:c r="B249" t="str">
        <x:v>S042</x:v>
      </x:c>
      <x:c r="C249" t="str">
        <x:v>Woodworking</x:v>
      </x:c>
      <x:c r="D249" t="str">
        <x:v>cutting</x:v>
      </x:c>
      <x:c r="E249" t="str">
        <x:v>cutting</x:v>
      </x:c>
      <x:c r="F249" t="n">
        <x:v>4</x:v>
      </x:c>
      <x:c r="G249" t="str">
        <x:v>cut along a pencil line with a handsaw</x:v>
      </x:c>
      <x:c r="H249" t="str">
        <x:v>handsaw</x:v>
      </x:c>
      <x:c r="I249" t="str">
        <x:v>pine board on sawhorses</x:v>
      </x:c>
      <x:c r="J249" t="str">
        <x:v>Sora 2 Pro</x:v>
      </x:c>
      <x:c r="K249" t="str">
        <x:v>Constraint-Rich Negative Prompt</x:v>
      </x:c>
      <x:c r="L249" t="str">
        <x:v>Adds concise no-floating-tools/no-extra-objects/no-morphing constraints.</x:v>
      </x:c>
      <x:c r="M249" t="str">
        <x:v>Close-up realistic instructional DIY video: cut along a pencil line with a handsaw. Show handsaw working on pine board on sawhorses. Hands visible, stable camera, no text overlay, neutral shop lighting. Constraints: no floating tools, no extra tools, no morphing hands, no reversed motion, no impossible deformation, no dramatic camera spin. Keep the full action legible.</x:v>
      </x:c>
      <x:c r="N249" s="14" t="n">
        <x:v>8</x:v>
      </x:c>
      <x:c r="O249" s="14" t="n">
        <x:v>100421</x:v>
      </x:c>
      <x:c r="P249" t="str">
        <x:v>R-A</x:v>
      </x:c>
      <x:c r="Q249" s="12" t="n">
        <x:v>4.01</x:v>
      </x:c>
      <x:c r="R249" s="12" t="n">
        <x:v>3.8</x:v>
      </x:c>
      <x:c r="S249" s="12" t="n">
        <x:v>3.29</x:v>
      </x:c>
      <x:c r="T249" s="12" t="n">
        <x:v>4.29</x:v>
      </x:c>
      <x:c r="U249" s="12" t="n">
        <x:v>4.25</x:v>
      </x:c>
      <x:c r="V249" s="12" t="n">
        <x:v>3.91</x:v>
      </x:c>
      <x:c r="W249" s="12" t="n">
        <x:f>ROUND((Q249*0.24)+(R249*0.22)+(S249*0.16)+(T249*0.18)+(U249*0.10)+(V249*0.10),2)</x:f>
        <x:v>3.91</x:v>
      </x:c>
      <x:c r="X249" t="str">
        <x:f>IF(W249&gt;=3.55,"Pass","Fail")</x:f>
        <x:v>Pass</x:v>
      </x:c>
      <x:c r="Y249" t="str">
        <x:v>tool pose a little soft</x:v>
      </x:c>
      <x:c r="Z249" t="str">
        <x:v>QA note: Usable, but I would not show it without review. The handsaw is recognizable, yet the exact contact point is hard to see when the hand crosses the frame. The mistake appears late, so a simple thumbnail review would probably miss it. The negative constraints help, but they do not fully solve the mechanics.</x:v>
      </x:c>
      <x:c r="AA249" t="str">
        <x:v>Use a reference image for the handsaw and specify its grip/orientation in plain language.</x:v>
      </x:c>
      <x:c r="AB249" t="str">
        <x:v>Medium-High</x:v>
      </x:c>
      <x:c r="AC249" t="str"/>
      <x:c r="AD249" t="str">
        <x:v>Mock rater record for experiment design; audit against real video outputs before publication.</x:v>
      </x:c>
    </x:row>
    <x:row r="250">
      <x:c r="A250" t="str">
        <x:v>S042-Runway-CON</x:v>
      </x:c>
      <x:c r="B250" t="str">
        <x:v>S042</x:v>
      </x:c>
      <x:c r="C250" t="str">
        <x:v>Woodworking</x:v>
      </x:c>
      <x:c r="D250" t="str">
        <x:v>cutting</x:v>
      </x:c>
      <x:c r="E250" t="str">
        <x:v>cutting</x:v>
      </x:c>
      <x:c r="F250" t="n">
        <x:v>4</x:v>
      </x:c>
      <x:c r="G250" t="str">
        <x:v>cut along a pencil line with a handsaw</x:v>
      </x:c>
      <x:c r="H250" t="str">
        <x:v>handsaw</x:v>
      </x:c>
      <x:c r="I250" t="str">
        <x:v>pine board on sawhorses</x:v>
      </x:c>
      <x:c r="J250" t="str">
        <x:v>Runway Gen-4.5</x:v>
      </x:c>
      <x:c r="K250" t="str">
        <x:v>Constraint-Rich Negative Prompt</x:v>
      </x:c>
      <x:c r="L250" t="str">
        <x:v>Adds concise no-floating-tools/no-extra-objects/no-morphing constraints.</x:v>
      </x:c>
      <x:c r="M250" t="str">
        <x:v>Close-up realistic instructional DIY video: cut along a pencil line with a handsaw. Show handsaw working on pine board on sawhorses. Hands visible, stable camera, no text overlay, neutral shop lighting. Constraints: no floating tools, no extra tools, no morphing hands, no reversed motion, no impossible deformation, no dramatic camera spin. Keep the full action legible.</x:v>
      </x:c>
      <x:c r="N250" s="14" t="n">
        <x:v>5</x:v>
      </x:c>
      <x:c r="O250" s="14" t="n">
        <x:v>100422</x:v>
      </x:c>
      <x:c r="P250" t="str">
        <x:v>R-D</x:v>
      </x:c>
      <x:c r="Q250" s="12" t="n">
        <x:v>3.59</x:v>
      </x:c>
      <x:c r="R250" s="12" t="n">
        <x:v>3.81</x:v>
      </x:c>
      <x:c r="S250" s="12" t="n">
        <x:v>4.29</x:v>
      </x:c>
      <x:c r="T250" s="12" t="n">
        <x:v>3.34</x:v>
      </x:c>
      <x:c r="U250" s="12" t="n">
        <x:v>4.05</x:v>
      </x:c>
      <x:c r="V250" s="12" t="n">
        <x:v>4.16</x:v>
      </x:c>
      <x:c r="W250" s="12" t="n">
        <x:f>ROUND((Q250*0.24)+(R250*0.22)+(S250*0.16)+(T250*0.18)+(U250*0.10)+(V250*0.10),2)</x:f>
        <x:v>3.81</x:v>
      </x:c>
      <x:c r="X250" t="str">
        <x:f>IF(W250&gt;=3.55,"Pass","Fail")</x:f>
        <x:v>Pass</x:v>
      </x:c>
      <x:c r="Y250" t="str">
        <x:v>missing safety cue</x:v>
      </x:c>
      <x:c r="Z250" t="str">
        <x:v>Rater note: Usable, but I would not show it without review. The handsaw is recognizable, yet the exact contact point is hard to see when the hand crosses the frame. The most important fix is to show the before-and-after state without a cut. The negative constraints help, but they do not fully solve the mechanics.</x:v>
      </x:c>
      <x:c r="AA250" t="str">
        <x:v>Ask for a static close-up and require the handsaw to touch the pine board on sawhorses before any motion starts.</x:v>
      </x:c>
      <x:c r="AB250" t="str">
        <x:v>Medium</x:v>
      </x:c>
      <x:c r="AC250" t="str"/>
      <x:c r="AD250" t="str">
        <x:v>Simulated pilot row for planning; replace with blinded ratings after generating actual clips.</x:v>
      </x:c>
    </x:row>
    <x:row r="251">
      <x:c r="A251" t="str">
        <x:v>S042-Kling-CON</x:v>
      </x:c>
      <x:c r="B251" t="str">
        <x:v>S042</x:v>
      </x:c>
      <x:c r="C251" t="str">
        <x:v>Woodworking</x:v>
      </x:c>
      <x:c r="D251" t="str">
        <x:v>cutting</x:v>
      </x:c>
      <x:c r="E251" t="str">
        <x:v>cutting</x:v>
      </x:c>
      <x:c r="F251" t="n">
        <x:v>4</x:v>
      </x:c>
      <x:c r="G251" t="str">
        <x:v>cut along a pencil line with a handsaw</x:v>
      </x:c>
      <x:c r="H251" t="str">
        <x:v>handsaw</x:v>
      </x:c>
      <x:c r="I251" t="str">
        <x:v>pine board on sawhorses</x:v>
      </x:c>
      <x:c r="J251" t="str">
        <x:v>Kling v3.0 (Replicate)</x:v>
      </x:c>
      <x:c r="K251" t="str">
        <x:v>Constraint-Rich Negative Prompt</x:v>
      </x:c>
      <x:c r="L251" t="str">
        <x:v>Adds concise no-floating-tools/no-extra-objects/no-morphing constraints.</x:v>
      </x:c>
      <x:c r="M251" t="str">
        <x:v>Close-up realistic instructional DIY video: cut along a pencil line with a handsaw. Show handsaw working on pine board on sawhorses. Hands visible, stable camera, no text overlay, neutral shop lighting. Constraints: no floating tools, no extra tools, no morphing hands, no reversed motion, no impossible deformation, no dramatic camera spin. Keep the full action legible.</x:v>
      </x:c>
      <x:c r="N251" s="14" t="n">
        <x:v>10</x:v>
      </x:c>
      <x:c r="O251" s="14" t="n">
        <x:v>100423</x:v>
      </x:c>
      <x:c r="P251" t="str">
        <x:v>R-E</x:v>
      </x:c>
      <x:c r="Q251" s="12" t="n">
        <x:v>3.35</x:v>
      </x:c>
      <x:c r="R251" s="12" t="n">
        <x:v>3.79</x:v>
      </x:c>
      <x:c r="S251" s="12" t="n">
        <x:v>3.86</x:v>
      </x:c>
      <x:c r="T251" s="12" t="n">
        <x:v>3.54</x:v>
      </x:c>
      <x:c r="U251" s="12" t="n">
        <x:v>2.84</x:v>
      </x:c>
      <x:c r="V251" s="12" t="n">
        <x:v>3.3</x:v>
      </x:c>
      <x:c r="W251" s="12" t="n">
        <x:f>ROUND((Q251*0.24)+(R251*0.22)+(S251*0.16)+(T251*0.18)+(U251*0.10)+(V251*0.10),2)</x:f>
        <x:v>3.51</x:v>
      </x:c>
      <x:c r="X251" t="str">
        <x:f>IF(W251&gt;=3.55,"Pass","Fail")</x:f>
        <x:v>Fail</x:v>
      </x:c>
      <x:c r="Y251" t="str">
        <x:v>unsafe hand placement</x:v>
      </x:c>
      <x:c r="Z251" t="str">
        <x:v>Human check: A reviewer would likely reject this. It may be visually attractive, but the tool/object relationship breaks during the important moment. The tool silhouette is acceptable; the mechanics are the weak part. The negative constraints help, but they do not fully solve the mechanics.</x:v>
      </x:c>
      <x:c r="AA251" t="str">
        <x:v>Break the action into start, contact, movement, and finish; ban extra tools and hand morphing.</x:v>
      </x:c>
      <x:c r="AB251" t="str">
        <x:v>Medium</x:v>
      </x:c>
      <x:c r="AC251" t="str"/>
      <x:c r="AD251" t="str">
        <x:v>Synthetic benchmark entry; generated clip URL should be filled after API run.</x:v>
      </x:c>
    </x:row>
    <x:row r="252">
      <x:c r="A252" t="str">
        <x:v>S042-Pika-CON</x:v>
      </x:c>
      <x:c r="B252" t="str">
        <x:v>S042</x:v>
      </x:c>
      <x:c r="C252" t="str">
        <x:v>Woodworking</x:v>
      </x:c>
      <x:c r="D252" t="str">
        <x:v>cutting</x:v>
      </x:c>
      <x:c r="E252" t="str">
        <x:v>cutting</x:v>
      </x:c>
      <x:c r="F252" t="n">
        <x:v>4</x:v>
      </x:c>
      <x:c r="G252" t="str">
        <x:v>cut along a pencil line with a handsaw</x:v>
      </x:c>
      <x:c r="H252" t="str">
        <x:v>handsaw</x:v>
      </x:c>
      <x:c r="I252" t="str">
        <x:v>pine board on sawhorses</x:v>
      </x:c>
      <x:c r="J252" t="str">
        <x:v>Pika 2.2</x:v>
      </x:c>
      <x:c r="K252" t="str">
        <x:v>Constraint-Rich Negative Prompt</x:v>
      </x:c>
      <x:c r="L252" t="str">
        <x:v>Adds concise no-floating-tools/no-extra-objects/no-morphing constraints.</x:v>
      </x:c>
      <x:c r="M252" t="str">
        <x:v>Close-up realistic instructional DIY video: cut along a pencil line with a handsaw. Show handsaw working on pine board on sawhorses. Hands visible, stable camera, no text overlay, neutral shop lighting. Constraints: no floating tools, no extra tools, no morphing hands, no reversed motion, no impossible deformation, no dramatic camera spin. Keep the full action legible.</x:v>
      </x:c>
      <x:c r="N252" s="14" t="n">
        <x:v>5</x:v>
      </x:c>
      <x:c r="O252" s="14" t="n">
        <x:v>100424</x:v>
      </x:c>
      <x:c r="P252" t="str">
        <x:v>R-B</x:v>
      </x:c>
      <x:c r="Q252" s="12" t="n">
        <x:v>2.52</x:v>
      </x:c>
      <x:c r="R252" s="12" t="n">
        <x:v>3.24</x:v>
      </x:c>
      <x:c r="S252" s="12" t="n">
        <x:v>3.33</x:v>
      </x:c>
      <x:c r="T252" s="12" t="n">
        <x:v>3.78</x:v>
      </x:c>
      <x:c r="U252" s="12" t="n">
        <x:v>3.63</x:v>
      </x:c>
      <x:c r="V252" s="12" t="n">
        <x:v>3.21</x:v>
      </x:c>
      <x:c r="W252" s="12" t="n">
        <x:f>ROUND((Q252*0.24)+(R252*0.22)+(S252*0.16)+(T252*0.18)+(U252*0.10)+(V252*0.10),2)</x:f>
        <x:v>3.21</x:v>
      </x:c>
      <x:c r="X252" t="str">
        <x:f>IF(W252&gt;=3.55,"Pass","Fail")</x:f>
        <x:v>Fail</x:v>
      </x:c>
      <x:c r="Y252" t="str">
        <x:v>unsafe hand placement</x:v>
      </x:c>
      <x:c r="Z252" t="str">
        <x:v>Clip review: A reviewer would likely reject this. It may be visually attractive, but the tool/object relationship breaks during the important moment. This would be safer as a reference-aided run than a text-only run. The negative constraints help, but they do not fully solve the mechanics.</x:v>
      </x:c>
      <x:c r="AA252" t="str">
        <x:v>Add a one-sentence end-state requirement: viewer must see the completed cutting result for one full second.</x:v>
      </x:c>
      <x:c r="AB252" t="str">
        <x:v>Medium</x:v>
      </x:c>
      <x:c r="AC252" t="str"/>
      <x:c r="AD252" t="str">
        <x:v>Planning dataset only; scores are plausible placeholders, not vendor claims.</x:v>
      </x:c>
    </x:row>
    <x:row r="253">
      <x:c r="A253" t="str">
        <x:v>S042-Vidu-CON</x:v>
      </x:c>
      <x:c r="B253" t="str">
        <x:v>S042</x:v>
      </x:c>
      <x:c r="C253" t="str">
        <x:v>Woodworking</x:v>
      </x:c>
      <x:c r="D253" t="str">
        <x:v>cutting</x:v>
      </x:c>
      <x:c r="E253" t="str">
        <x:v>cutting</x:v>
      </x:c>
      <x:c r="F253" t="n">
        <x:v>4</x:v>
      </x:c>
      <x:c r="G253" t="str">
        <x:v>cut along a pencil line with a handsaw</x:v>
      </x:c>
      <x:c r="H253" t="str">
        <x:v>handsaw</x:v>
      </x:c>
      <x:c r="I253" t="str">
        <x:v>pine board on sawhorses</x:v>
      </x:c>
      <x:c r="J253" t="str">
        <x:v>Vidu 2.0</x:v>
      </x:c>
      <x:c r="K253" t="str">
        <x:v>Constraint-Rich Negative Prompt</x:v>
      </x:c>
      <x:c r="L253" t="str">
        <x:v>Adds concise no-floating-tools/no-extra-objects/no-morphing constraints.</x:v>
      </x:c>
      <x:c r="M253" t="str">
        <x:v>Close-up realistic instructional DIY video: cut along a pencil line with a handsaw. Show handsaw working on pine board on sawhorses. Hands visible, stable camera, no text overlay, neutral shop lighting. Constraints: no floating tools, no extra tools, no morphing hands, no reversed motion, no impossible deformation, no dramatic camera spin. Keep the full action legible.</x:v>
      </x:c>
      <x:c r="N253" s="14" t="n">
        <x:v>5</x:v>
      </x:c>
      <x:c r="O253" s="14" t="n">
        <x:v>100425</x:v>
      </x:c>
      <x:c r="P253" t="str">
        <x:v>R-C</x:v>
      </x:c>
      <x:c r="Q253" s="12" t="n">
        <x:v>3.11</x:v>
      </x:c>
      <x:c r="R253" s="12" t="n">
        <x:v>3.19</x:v>
      </x:c>
      <x:c r="S253" s="12" t="n">
        <x:v>3.85</x:v>
      </x:c>
      <x:c r="T253" s="12" t="n">
        <x:v>3.38</x:v>
      </x:c>
      <x:c r="U253" s="12" t="n">
        <x:v>3.18</x:v>
      </x:c>
      <x:c r="V253" s="12" t="n">
        <x:v>3.3</x:v>
      </x:c>
      <x:c r="W253" s="12" t="n">
        <x:f>ROUND((Q253*0.24)+(R253*0.22)+(S253*0.16)+(T253*0.18)+(U253*0.10)+(V253*0.10),2)</x:f>
        <x:v>3.32</x:v>
      </x:c>
      <x:c r="X253" t="str">
        <x:f>IF(W253&gt;=3.55,"Pass","Fail")</x:f>
        <x:v>Fail</x:v>
      </x:c>
      <x:c r="Y253" t="str">
        <x:v>wrong grip on tool</x:v>
      </x:c>
      <x:c r="Z253" t="str">
        <x:v>Human check: A reviewer would likely reject this. It may be visually attractive, but the tool/object relationship breaks during the important moment. The issue is subtle visually, but it matters because the clip is supposed to teach the technique. The negative constraints help, but they do not fully solve the mechanics.</x:v>
      </x:c>
      <x:c r="AA253" t="str">
        <x:v>Move safety language earlier in the prompt and remove cinematic camera instructions.</x:v>
      </x:c>
      <x:c r="AB253" t="str">
        <x:v>Medium-High</x:v>
      </x:c>
      <x:c r="AC253" t="str"/>
      <x:c r="AD253" t="str">
        <x:v>Synthetic benchmark entry; generated clip URL should be filled after API run.</x:v>
      </x:c>
    </x:row>
    <x:row r="254">
      <x:c r="A254" t="str">
        <x:v>S043-Veo-DIR</x:v>
      </x:c>
      <x:c r="B254" t="str">
        <x:v>S043</x:v>
      </x:c>
      <x:c r="C254" t="str">
        <x:v>Woodworking</x:v>
      </x:c>
      <x:c r="D254" t="str">
        <x:v>drilling</x:v>
      </x:c>
      <x:c r="E254" t="str">
        <x:v>drilling</x:v>
      </x:c>
      <x:c r="F254" t="n">
        <x:v>4</x:v>
      </x:c>
      <x:c r="G254" t="str">
        <x:v>drill a pilot hole perpendicular to a pine board</x:v>
      </x:c>
      <x:c r="H254" t="str">
        <x:v>cordless drill</x:v>
      </x:c>
      <x:c r="I254" t="str">
        <x:v>pine board, marked dot</x:v>
      </x:c>
      <x:c r="J254" t="str">
        <x:v>Veo 3.1</x:v>
      </x:c>
      <x:c r="K254" t="str">
        <x:v>Direct Natural Language</x:v>
      </x:c>
      <x:c r="L254" t="str">
        <x:v>Baseline wording only; no explicit decomposition.</x:v>
      </x:c>
      <x:c r="M254" t="str">
        <x:v>Close-up realistic instructional DIY video: drill a pilot hole perpendicular to a pine board. Show cordless drill working on pine board, marked dot. Hands visible, stable camera, no text overlay, neutral shop lighting.</x:v>
      </x:c>
      <x:c r="N254" s="14" t="n">
        <x:v>8</x:v>
      </x:c>
      <x:c r="O254" s="14" t="n">
        <x:v>100430</x:v>
      </x:c>
      <x:c r="P254" t="str">
        <x:v>R-D</x:v>
      </x:c>
      <x:c r="Q254" s="12" t="n">
        <x:v>3.7</x:v>
      </x:c>
      <x:c r="R254" s="12" t="n">
        <x:v>4.96</x:v>
      </x:c>
      <x:c r="S254" s="12" t="n">
        <x:v>4.4</x:v>
      </x:c>
      <x:c r="T254" s="12" t="n">
        <x:v>3.71</x:v>
      </x:c>
      <x:c r="U254" s="12" t="n">
        <x:v>3.03</x:v>
      </x:c>
      <x:c r="V254" s="12" t="n">
        <x:v>3.46</x:v>
      </x:c>
      <x:c r="W254" s="12" t="n">
        <x:f>ROUND((Q254*0.24)+(R254*0.22)+(S254*0.16)+(T254*0.18)+(U254*0.10)+(V254*0.10),2)</x:f>
        <x:v>4</x:v>
      </x:c>
      <x:c r="X254" t="str">
        <x:f>IF(W254&gt;=3.55,"Pass","Fail")</x:f>
        <x:v>Pass</x:v>
      </x:c>
      <x:c r="Y254" t="str">
        <x:v>endpoint not visible</x:v>
      </x:c>
      <x:c r="Z254" t="str">
        <x:v>Review note: Usable, but I would not show it without review. The cordless drill is recognizable, yet the exact contact point is hard to see when the hand crosses the frame. I would keep the same camera angle but ask for a tighter view of the contact point. For this woodworking example, the main judgment is still whether the viewer can copy the motion.</x:v>
      </x:c>
      <x:c r="AA254" t="str">
        <x:v>Specify the exact contact point and do not allow the hand to cover it.</x:v>
      </x:c>
      <x:c r="AB254" t="str">
        <x:v>Medium-High</x:v>
      </x:c>
      <x:c r="AC254" t="str"/>
      <x:c r="AD254" t="str">
        <x:v>Planning dataset only; scores are plausible placeholders, not vendor claims.</x:v>
      </x:c>
    </x:row>
    <x:row r="255">
      <x:c r="A255" t="str">
        <x:v>S043-Sora-DIR</x:v>
      </x:c>
      <x:c r="B255" t="str">
        <x:v>S043</x:v>
      </x:c>
      <x:c r="C255" t="str">
        <x:v>Woodworking</x:v>
      </x:c>
      <x:c r="D255" t="str">
        <x:v>drilling</x:v>
      </x:c>
      <x:c r="E255" t="str">
        <x:v>drilling</x:v>
      </x:c>
      <x:c r="F255" t="n">
        <x:v>4</x:v>
      </x:c>
      <x:c r="G255" t="str">
        <x:v>drill a pilot hole perpendicular to a pine board</x:v>
      </x:c>
      <x:c r="H255" t="str">
        <x:v>cordless drill</x:v>
      </x:c>
      <x:c r="I255" t="str">
        <x:v>pine board, marked dot</x:v>
      </x:c>
      <x:c r="J255" t="str">
        <x:v>Sora 2 Pro</x:v>
      </x:c>
      <x:c r="K255" t="str">
        <x:v>Direct Natural Language</x:v>
      </x:c>
      <x:c r="L255" t="str">
        <x:v>Baseline wording only; no explicit decomposition.</x:v>
      </x:c>
      <x:c r="M255" t="str">
        <x:v>Close-up realistic instructional DIY video: drill a pilot hole perpendicular to a pine board. Show cordless drill working on pine board, marked dot. Hands visible, stable camera, no text overlay, neutral shop lighting.</x:v>
      </x:c>
      <x:c r="N255" s="14" t="n">
        <x:v>8</x:v>
      </x:c>
      <x:c r="O255" s="14" t="n">
        <x:v>100431</x:v>
      </x:c>
      <x:c r="P255" t="str">
        <x:v>R-A</x:v>
      </x:c>
      <x:c r="Q255" s="12" t="n">
        <x:v>3.91</x:v>
      </x:c>
      <x:c r="R255" s="12" t="n">
        <x:v>4.39</x:v>
      </x:c>
      <x:c r="S255" s="12" t="n">
        <x:v>4.55</x:v>
      </x:c>
      <x:c r="T255" s="12" t="n">
        <x:v>4.04</x:v>
      </x:c>
      <x:c r="U255" s="12" t="n">
        <x:v>4.11</x:v>
      </x:c>
      <x:c r="V255" s="12" t="n">
        <x:v>3.49</x:v>
      </x:c>
      <x:c r="W255" s="12" t="n">
        <x:f>ROUND((Q255*0.24)+(R255*0.22)+(S255*0.16)+(T255*0.18)+(U255*0.10)+(V255*0.10),2)</x:f>
        <x:v>4.12</x:v>
      </x:c>
      <x:c r="X255" t="str">
        <x:f>IF(W255&gt;=3.55,"Pass","Fail")</x:f>
        <x:v>Pass</x:v>
      </x:c>
      <x:c r="Y255" t="str">
        <x:v>endpoint not visible</x:v>
      </x:c>
      <x:c r="Z255" t="str">
        <x:v>Clip review: The intention is clear, especially if you already know the step. A novice might miss the key detail because this issue appears right where the action should be most explicit: endpoint not visible. This reads better as a teaser than as an instructional clip. For this woodworking example, the main judgment is still whether the viewer can copy the motion.</x:v>
      </x:c>
      <x:c r="AA255" t="str">
        <x:v>Break the action into start, contact, movement, and finish; ban extra tools and hand morphing.</x:v>
      </x:c>
      <x:c r="AB255" t="str">
        <x:v>Medium-High</x:v>
      </x:c>
      <x:c r="AC255" t="str"/>
      <x:c r="AD255" t="str">
        <x:v>Simulated pilot row for planning; replace with blinded ratings after generating actual clips.</x:v>
      </x:c>
    </x:row>
    <x:row r="256">
      <x:c r="A256" t="str">
        <x:v>S043-Runway-DIR</x:v>
      </x:c>
      <x:c r="B256" t="str">
        <x:v>S043</x:v>
      </x:c>
      <x:c r="C256" t="str">
        <x:v>Woodworking</x:v>
      </x:c>
      <x:c r="D256" t="str">
        <x:v>drilling</x:v>
      </x:c>
      <x:c r="E256" t="str">
        <x:v>drilling</x:v>
      </x:c>
      <x:c r="F256" t="n">
        <x:v>4</x:v>
      </x:c>
      <x:c r="G256" t="str">
        <x:v>drill a pilot hole perpendicular to a pine board</x:v>
      </x:c>
      <x:c r="H256" t="str">
        <x:v>cordless drill</x:v>
      </x:c>
      <x:c r="I256" t="str">
        <x:v>pine board, marked dot</x:v>
      </x:c>
      <x:c r="J256" t="str">
        <x:v>Runway Gen-4.5</x:v>
      </x:c>
      <x:c r="K256" t="str">
        <x:v>Direct Natural Language</x:v>
      </x:c>
      <x:c r="L256" t="str">
        <x:v>Baseline wording only; no explicit decomposition.</x:v>
      </x:c>
      <x:c r="M256" t="str">
        <x:v>Close-up realistic instructional DIY video: drill a pilot hole perpendicular to a pine board. Show cordless drill working on pine board, marked dot. Hands visible, stable camera, no text overlay, neutral shop lighting.</x:v>
      </x:c>
      <x:c r="N256" s="14" t="n">
        <x:v>5</x:v>
      </x:c>
      <x:c r="O256" s="14" t="n">
        <x:v>100432</x:v>
      </x:c>
      <x:c r="P256" t="str">
        <x:v>R-D</x:v>
      </x:c>
      <x:c r="Q256" s="12" t="n">
        <x:v>3.85</x:v>
      </x:c>
      <x:c r="R256" s="12" t="n">
        <x:v>3.37</x:v>
      </x:c>
      <x:c r="S256" s="12" t="n">
        <x:v>3.54</x:v>
      </x:c>
      <x:c r="T256" s="12" t="n">
        <x:v>3.72</x:v>
      </x:c>
      <x:c r="U256" s="12" t="n">
        <x:v>3.11</x:v>
      </x:c>
      <x:c r="V256" s="12" t="n">
        <x:v>3.23</x:v>
      </x:c>
      <x:c r="W256" s="12" t="n">
        <x:f>ROUND((Q256*0.24)+(R256*0.22)+(S256*0.16)+(T256*0.18)+(U256*0.10)+(V256*0.10),2)</x:f>
        <x:v>3.54</x:v>
      </x:c>
      <x:c r="X256" t="str">
        <x:f>IF(W256&gt;=3.55,"Pass","Fail")</x:f>
        <x:v>Fail</x:v>
      </x:c>
      <x:c r="Y256" t="str">
        <x:v>wrong grip on tool</x:v>
      </x:c>
      <x:c r="Z256" t="str">
        <x:v>Human check: Too much is being implied. The cordless drill and pine board, marked dot are in the scene, but the motion does not demonstrate the actual repair step. The clip needs a verifier pass before it can enter the training pool. The baseline prompt is likely under-specifying the tool path.</x:v>
      </x:c>
      <x:c r="AA256" t="str">
        <x:v>Specify the exact contact point and do not allow the hand to cover it.</x:v>
      </x:c>
      <x:c r="AB256" t="str">
        <x:v>Medium-High</x:v>
      </x:c>
      <x:c r="AC256" t="str"/>
      <x:c r="AD256" t="str">
        <x:v>Planning dataset only; scores are plausible placeholders, not vendor claims.</x:v>
      </x:c>
    </x:row>
    <x:row r="257">
      <x:c r="A257" t="str">
        <x:v>S043-Kling-DIR</x:v>
      </x:c>
      <x:c r="B257" t="str">
        <x:v>S043</x:v>
      </x:c>
      <x:c r="C257" t="str">
        <x:v>Woodworking</x:v>
      </x:c>
      <x:c r="D257" t="str">
        <x:v>drilling</x:v>
      </x:c>
      <x:c r="E257" t="str">
        <x:v>drilling</x:v>
      </x:c>
      <x:c r="F257" t="n">
        <x:v>4</x:v>
      </x:c>
      <x:c r="G257" t="str">
        <x:v>drill a pilot hole perpendicular to a pine board</x:v>
      </x:c>
      <x:c r="H257" t="str">
        <x:v>cordless drill</x:v>
      </x:c>
      <x:c r="I257" t="str">
        <x:v>pine board, marked dot</x:v>
      </x:c>
      <x:c r="J257" t="str">
        <x:v>Kling v3.0 (Replicate)</x:v>
      </x:c>
      <x:c r="K257" t="str">
        <x:v>Direct Natural Language</x:v>
      </x:c>
      <x:c r="L257" t="str">
        <x:v>Baseline wording only; no explicit decomposition.</x:v>
      </x:c>
      <x:c r="M257" t="str">
        <x:v>Close-up realistic instructional DIY video: drill a pilot hole perpendicular to a pine board. Show cordless drill working on pine board, marked dot. Hands visible, stable camera, no text overlay, neutral shop lighting.</x:v>
      </x:c>
      <x:c r="N257" s="14" t="n">
        <x:v>10</x:v>
      </x:c>
      <x:c r="O257" s="14" t="n">
        <x:v>100433</x:v>
      </x:c>
      <x:c r="P257" t="str">
        <x:v>R-E</x:v>
      </x:c>
      <x:c r="Q257" s="12" t="n">
        <x:v>3.7</x:v>
      </x:c>
      <x:c r="R257" s="12" t="n">
        <x:v>3.66</x:v>
      </x:c>
      <x:c r="S257" s="12" t="n">
        <x:v>3.25</x:v>
      </x:c>
      <x:c r="T257" s="12" t="n">
        <x:v>3.78</x:v>
      </x:c>
      <x:c r="U257" s="12" t="n">
        <x:v>3.39</x:v>
      </x:c>
      <x:c r="V257" s="12" t="n">
        <x:v>3.64</x:v>
      </x:c>
      <x:c r="W257" s="12" t="n">
        <x:f>ROUND((Q257*0.24)+(R257*0.22)+(S257*0.16)+(T257*0.18)+(U257*0.10)+(V257*0.10),2)</x:f>
        <x:v>3.6</x:v>
      </x:c>
      <x:c r="X257" t="str">
        <x:f>IF(W257&gt;=3.55,"Pass","Fail")</x:f>
        <x:v>Pass</x:v>
      </x:c>
      <x:c r="Y257" t="str">
        <x:v>missing safety cue</x:v>
      </x:c>
      <x:c r="Z257" t="str">
        <x:v>Review note: The intention is clear, especially if you already know the step. A novice might miss the key detail because this issue appears right where the action should be most explicit: missing safety cue. This would be safer as a reference-aided run than a text-only run. The baseline prompt is likely under-specifying the tool path.</x:v>
      </x:c>
      <x:c r="AA257" t="str">
        <x:v>Break the action into start, contact, movement, and finish; ban extra tools and hand morphing.</x:v>
      </x:c>
      <x:c r="AB257" t="str">
        <x:v>High</x:v>
      </x:c>
      <x:c r="AC257" t="str"/>
      <x:c r="AD257" t="str">
        <x:v>Simulated pilot row for planning; replace with blinded ratings after generating actual clips.</x:v>
      </x:c>
    </x:row>
    <x:row r="258">
      <x:c r="A258" t="str">
        <x:v>S043-Pika-DIR</x:v>
      </x:c>
      <x:c r="B258" t="str">
        <x:v>S043</x:v>
      </x:c>
      <x:c r="C258" t="str">
        <x:v>Woodworking</x:v>
      </x:c>
      <x:c r="D258" t="str">
        <x:v>drilling</x:v>
      </x:c>
      <x:c r="E258" t="str">
        <x:v>drilling</x:v>
      </x:c>
      <x:c r="F258" t="n">
        <x:v>4</x:v>
      </x:c>
      <x:c r="G258" t="str">
        <x:v>drill a pilot hole perpendicular to a pine board</x:v>
      </x:c>
      <x:c r="H258" t="str">
        <x:v>cordless drill</x:v>
      </x:c>
      <x:c r="I258" t="str">
        <x:v>pine board, marked dot</x:v>
      </x:c>
      <x:c r="J258" t="str">
        <x:v>Pika 2.2</x:v>
      </x:c>
      <x:c r="K258" t="str">
        <x:v>Direct Natural Language</x:v>
      </x:c>
      <x:c r="L258" t="str">
        <x:v>Baseline wording only; no explicit decomposition.</x:v>
      </x:c>
      <x:c r="M258" t="str">
        <x:v>Close-up realistic instructional DIY video: drill a pilot hole perpendicular to a pine board. Show cordless drill working on pine board, marked dot. Hands visible, stable camera, no text overlay, neutral shop lighting.</x:v>
      </x:c>
      <x:c r="N258" s="14" t="n">
        <x:v>5</x:v>
      </x:c>
      <x:c r="O258" s="14" t="n">
        <x:v>100434</x:v>
      </x:c>
      <x:c r="P258" t="str">
        <x:v>R-A</x:v>
      </x:c>
      <x:c r="Q258" s="12" t="n">
        <x:v>2.63</x:v>
      </x:c>
      <x:c r="R258" s="12" t="n">
        <x:v>3.4</x:v>
      </x:c>
      <x:c r="S258" s="12" t="n">
        <x:v>2.92</x:v>
      </x:c>
      <x:c r="T258" s="12" t="n">
        <x:v>3.36</x:v>
      </x:c>
      <x:c r="U258" s="12" t="n">
        <x:v>3.49</x:v>
      </x:c>
      <x:c r="V258" s="12" t="n">
        <x:v>3.32</x:v>
      </x:c>
      <x:c r="W258" s="12" t="n">
        <x:f>ROUND((Q258*0.24)+(R258*0.22)+(S258*0.16)+(T258*0.18)+(U258*0.10)+(V258*0.10),2)</x:f>
        <x:v>3.13</x:v>
      </x:c>
      <x:c r="X258" t="str">
        <x:f>IF(W258&gt;=3.55,"Pass","Fail")</x:f>
        <x:v>Fail</x:v>
      </x:c>
      <x:c r="Y258" t="str">
        <x:v>unsafe hand placement</x:v>
      </x:c>
      <x:c r="Z258" t="str">
        <x:v>Clip review: Too much is being implied. The cordless drill and pine board, marked dot are in the scene, but the motion does not demonstrate the actual repair step. The tool silhouette is acceptable; the mechanics are the weak part. The baseline prompt is likely under-specifying the tool path.</x:v>
      </x:c>
      <x:c r="AA258" t="str">
        <x:v>Add a one-sentence end-state requirement: viewer must see the completed drilling result for one full second.</x:v>
      </x:c>
      <x:c r="AB258" t="str">
        <x:v>Medium</x:v>
      </x:c>
      <x:c r="AC258" t="str"/>
      <x:c r="AD258" t="str">
        <x:v>Mock rater record for experiment design; audit against real video outputs before publication.</x:v>
      </x:c>
    </x:row>
    <x:row r="259">
      <x:c r="A259" t="str">
        <x:v>S043-Vidu-DIR</x:v>
      </x:c>
      <x:c r="B259" t="str">
        <x:v>S043</x:v>
      </x:c>
      <x:c r="C259" t="str">
        <x:v>Woodworking</x:v>
      </x:c>
      <x:c r="D259" t="str">
        <x:v>drilling</x:v>
      </x:c>
      <x:c r="E259" t="str">
        <x:v>drilling</x:v>
      </x:c>
      <x:c r="F259" t="n">
        <x:v>4</x:v>
      </x:c>
      <x:c r="G259" t="str">
        <x:v>drill a pilot hole perpendicular to a pine board</x:v>
      </x:c>
      <x:c r="H259" t="str">
        <x:v>cordless drill</x:v>
      </x:c>
      <x:c r="I259" t="str">
        <x:v>pine board, marked dot</x:v>
      </x:c>
      <x:c r="J259" t="str">
        <x:v>Vidu 2.0</x:v>
      </x:c>
      <x:c r="K259" t="str">
        <x:v>Direct Natural Language</x:v>
      </x:c>
      <x:c r="L259" t="str">
        <x:v>Baseline wording only; no explicit decomposition.</x:v>
      </x:c>
      <x:c r="M259" t="str">
        <x:v>Close-up realistic instructional DIY video: drill a pilot hole perpendicular to a pine board. Show cordless drill working on pine board, marked dot. Hands visible, stable camera, no text overlay, neutral shop lighting.</x:v>
      </x:c>
      <x:c r="N259" s="14" t="n">
        <x:v>5</x:v>
      </x:c>
      <x:c r="O259" s="14" t="n">
        <x:v>100435</x:v>
      </x:c>
      <x:c r="P259" t="str">
        <x:v>R-A</x:v>
      </x:c>
      <x:c r="Q259" s="12" t="n">
        <x:v>3.14</x:v>
      </x:c>
      <x:c r="R259" s="12" t="n">
        <x:v>2.53</x:v>
      </x:c>
      <x:c r="S259" s="12" t="n">
        <x:v>3.1</x:v>
      </x:c>
      <x:c r="T259" s="12" t="n">
        <x:v>3.2</x:v>
      </x:c>
      <x:c r="U259" s="12" t="n">
        <x:v>3.24</x:v>
      </x:c>
      <x:c r="V259" s="12" t="n">
        <x:v>3.38</x:v>
      </x:c>
      <x:c r="W259" s="12" t="n">
        <x:f>ROUND((Q259*0.24)+(R259*0.22)+(S259*0.16)+(T259*0.18)+(U259*0.10)+(V259*0.10),2)</x:f>
        <x:v>3.04</x:v>
      </x:c>
      <x:c r="X259" t="str">
        <x:f>IF(W259&gt;=3.55,"Pass","Fail")</x:f>
        <x:v>Fail</x:v>
      </x:c>
      <x:c r="Y259" t="str">
        <x:v>object morphs</x:v>
      </x:c>
      <x:c r="Z259" t="str">
        <x:v>Clip review: The clip looks like generic DIY stock footage rather than this specific step. The main problem is object morphs, and the end state is not verifiable. The next prompt should slow the final second instead of adding more scene detail. The baseline prompt is likely under-specifying the tool path.</x:v>
      </x:c>
      <x:c r="AA259" t="str">
        <x:v>Add a one-sentence end-state requirement: viewer must see the completed drilling result for one full second.</x:v>
      </x:c>
      <x:c r="AB259" t="str">
        <x:v>High</x:v>
      </x:c>
      <x:c r="AC259" t="str"/>
      <x:c r="AD259" t="str">
        <x:v>Mock rater record for experiment design; audit against real video outputs before publication.</x:v>
      </x:c>
    </x:row>
    <x:row r="260">
      <x:c r="A260" t="str">
        <x:v>S044-Veo-STR</x:v>
      </x:c>
      <x:c r="B260" t="str">
        <x:v>S044</x:v>
      </x:c>
      <x:c r="C260" t="str">
        <x:v>Woodworking</x:v>
      </x:c>
      <x:c r="D260" t="str">
        <x:v>fastening</x:v>
      </x:c>
      <x:c r="E260" t="str">
        <x:v>driving</x:v>
      </x:c>
      <x:c r="F260" t="n">
        <x:v>3</x:v>
      </x:c>
      <x:c r="G260" t="str">
        <x:v>drive a wood screw until the head sits flush</x:v>
      </x:c>
      <x:c r="H260" t="str">
        <x:v>cordless driver</x:v>
      </x:c>
      <x:c r="I260" t="str">
        <x:v>wood screw, pine board</x:v>
      </x:c>
      <x:c r="J260" t="str">
        <x:v>Veo 3.1</x:v>
      </x:c>
      <x:c r="K260" t="str">
        <x:v>Structured Action-Object-Tool</x:v>
      </x:c>
      <x:c r="L260" t="str">
        <x:v>Action, tool, object, grip, contact point, start/end states.</x:v>
      </x:c>
      <x:c r="M260" t="str">
        <x:v>Close-up realistic instructional DIY video: drive a wood screw until the head sits flush. Show cordless driver working on wood screw, pine board. Hands visible, stable camera, no text overlay, neutral shop lighting. Action=driving; tool=cordless driver; object/material=wood screw, pine board; show tool-to-object contact; start state, motion, and finished state all visible.</x:v>
      </x:c>
      <x:c r="N260" s="14" t="n">
        <x:v>8</x:v>
      </x:c>
      <x:c r="O260" s="14" t="n">
        <x:v>100440</x:v>
      </x:c>
      <x:c r="P260" t="str">
        <x:v>R-E</x:v>
      </x:c>
      <x:c r="Q260" s="12" t="n">
        <x:v>4.12</x:v>
      </x:c>
      <x:c r="R260" s="12" t="n">
        <x:v>4.04</x:v>
      </x:c>
      <x:c r="S260" s="12" t="n">
        <x:v>4.62</x:v>
      </x:c>
      <x:c r="T260" s="12" t="n">
        <x:v>3.95</x:v>
      </x:c>
      <x:c r="U260" s="12" t="n">
        <x:v>4.24</x:v>
      </x:c>
      <x:c r="V260" s="12" t="n">
        <x:v>3.93</x:v>
      </x:c>
      <x:c r="W260" s="12" t="n">
        <x:f>ROUND((Q260*0.24)+(R260*0.22)+(S260*0.16)+(T260*0.18)+(U260*0.10)+(V260*0.10),2)</x:f>
        <x:v>4.14</x:v>
      </x:c>
      <x:c r="X260" t="str">
        <x:f>IF(W260&gt;=3.55,"Pass","Fail")</x:f>
        <x:v>Pass</x:v>
      </x:c>
      <x:c r="Y260" t="str">
        <x:v>motion slightly compressed</x:v>
      </x:c>
      <x:c r="Z260" t="str">
        <x:v>QA note: Usable, but I would not show it without review. The cordless driver is recognizable, yet the exact contact point is hard to see when the hand crosses the frame. I would keep the same camera angle but ask for a tighter view of the contact point. For this woodworking example, the main judgment is still whether the viewer can copy the motion.</x:v>
      </x:c>
      <x:c r="AA260" t="str">
        <x:v>Use a reference image for the cordless driver and specify its grip/orientation in plain language.</x:v>
      </x:c>
      <x:c r="AB260" t="str">
        <x:v>High</x:v>
      </x:c>
      <x:c r="AC260" t="str"/>
      <x:c r="AD260" t="str">
        <x:v>Mock rater record for experiment design; audit against real video outputs before publication.</x:v>
      </x:c>
    </x:row>
    <x:row r="261">
      <x:c r="A261" t="str">
        <x:v>S044-Sora-STR</x:v>
      </x:c>
      <x:c r="B261" t="str">
        <x:v>S044</x:v>
      </x:c>
      <x:c r="C261" t="str">
        <x:v>Woodworking</x:v>
      </x:c>
      <x:c r="D261" t="str">
        <x:v>fastening</x:v>
      </x:c>
      <x:c r="E261" t="str">
        <x:v>driving</x:v>
      </x:c>
      <x:c r="F261" t="n">
        <x:v>3</x:v>
      </x:c>
      <x:c r="G261" t="str">
        <x:v>drive a wood screw until the head sits flush</x:v>
      </x:c>
      <x:c r="H261" t="str">
        <x:v>cordless driver</x:v>
      </x:c>
      <x:c r="I261" t="str">
        <x:v>wood screw, pine board</x:v>
      </x:c>
      <x:c r="J261" t="str">
        <x:v>Sora 2 Pro</x:v>
      </x:c>
      <x:c r="K261" t="str">
        <x:v>Structured Action-Object-Tool</x:v>
      </x:c>
      <x:c r="L261" t="str">
        <x:v>Action, tool, object, grip, contact point, start/end states.</x:v>
      </x:c>
      <x:c r="M261" t="str">
        <x:v>Close-up realistic instructional DIY video: drive a wood screw until the head sits flush. Show cordless driver working on wood screw, pine board. Hands visible, stable camera, no text overlay, neutral shop lighting. Action=driving; tool=cordless driver; object/material=wood screw, pine board; show tool-to-object contact; start state, motion, and finished state all visible.</x:v>
      </x:c>
      <x:c r="N261" s="14" t="n">
        <x:v>8</x:v>
      </x:c>
      <x:c r="O261" s="14" t="n">
        <x:v>100441</x:v>
      </x:c>
      <x:c r="P261" t="str">
        <x:v>R-D</x:v>
      </x:c>
      <x:c r="Q261" s="12" t="n">
        <x:v>4.35</x:v>
      </x:c>
      <x:c r="R261" s="12" t="n">
        <x:v>3.99</x:v>
      </x:c>
      <x:c r="S261" s="12" t="n">
        <x:v>3.83</x:v>
      </x:c>
      <x:c r="T261" s="12" t="n">
        <x:v>4.45</x:v>
      </x:c>
      <x:c r="U261" s="12" t="n">
        <x:v>4.66</x:v>
      </x:c>
      <x:c r="V261" s="12" t="n">
        <x:v>4.28</x:v>
      </x:c>
      <x:c r="W261" s="12" t="n">
        <x:f>ROUND((Q261*0.24)+(R261*0.22)+(S261*0.16)+(T261*0.18)+(U261*0.10)+(V261*0.10),2)</x:f>
        <x:v>4.23</x:v>
      </x:c>
      <x:c r="X261" t="str">
        <x:f>IF(W261&gt;=3.55,"Pass","Fail")</x:f>
        <x:v>Pass</x:v>
      </x:c>
      <x:c r="Y261" t="str">
        <x:v>none</x:v>
      </x:c>
      <x:c r="Z261" t="str">
        <x:v>Human check: The clip feels like a usable shop-demo take. I can see the hand position and the wood screw, pine board; it just needs a slightly longer hold on the final state. The prompt should prioritize hand path over cinematic lighting. For this woodworking example, the main judgment is still whether the viewer can copy the motion.</x:v>
      </x:c>
      <x:c r="AA261" t="str">
        <x:v>Break the action into start, contact, movement, and finish; ban extra tools and hand morphing.</x:v>
      </x:c>
      <x:c r="AB261" t="str">
        <x:v>High</x:v>
      </x:c>
      <x:c r="AC261" t="str"/>
      <x:c r="AD261" t="str">
        <x:v>Simulated pilot row for planning; replace with blinded ratings after generating actual clips.</x:v>
      </x:c>
    </x:row>
    <x:row r="262">
      <x:c r="A262" t="str">
        <x:v>S044-Runway-STR</x:v>
      </x:c>
      <x:c r="B262" t="str">
        <x:v>S044</x:v>
      </x:c>
      <x:c r="C262" t="str">
        <x:v>Woodworking</x:v>
      </x:c>
      <x:c r="D262" t="str">
        <x:v>fastening</x:v>
      </x:c>
      <x:c r="E262" t="str">
        <x:v>driving</x:v>
      </x:c>
      <x:c r="F262" t="n">
        <x:v>3</x:v>
      </x:c>
      <x:c r="G262" t="str">
        <x:v>drive a wood screw until the head sits flush</x:v>
      </x:c>
      <x:c r="H262" t="str">
        <x:v>cordless driver</x:v>
      </x:c>
      <x:c r="I262" t="str">
        <x:v>wood screw, pine board</x:v>
      </x:c>
      <x:c r="J262" t="str">
        <x:v>Runway Gen-4.5</x:v>
      </x:c>
      <x:c r="K262" t="str">
        <x:v>Structured Action-Object-Tool</x:v>
      </x:c>
      <x:c r="L262" t="str">
        <x:v>Action, tool, object, grip, contact point, start/end states.</x:v>
      </x:c>
      <x:c r="M262" t="str">
        <x:v>Close-up realistic instructional DIY video: drive a wood screw until the head sits flush. Show cordless driver working on wood screw, pine board. Hands visible, stable camera, no text overlay, neutral shop lighting. Action=driving; tool=cordless driver; object/material=wood screw, pine board; show tool-to-object contact; start state, motion, and finished state all visible.</x:v>
      </x:c>
      <x:c r="N262" s="14" t="n">
        <x:v>5</x:v>
      </x:c>
      <x:c r="O262" s="14" t="n">
        <x:v>100442</x:v>
      </x:c>
      <x:c r="P262" t="str">
        <x:v>R-B</x:v>
      </x:c>
      <x:c r="Q262" s="12" t="n">
        <x:v>3.89</x:v>
      </x:c>
      <x:c r="R262" s="12" t="n">
        <x:v>4.08</x:v>
      </x:c>
      <x:c r="S262" s="12" t="n">
        <x:v>4.39</x:v>
      </x:c>
      <x:c r="T262" s="12" t="n">
        <x:v>3.91</x:v>
      </x:c>
      <x:c r="U262" s="12" t="n">
        <x:v>3.87</x:v>
      </x:c>
      <x:c r="V262" s="12" t="n">
        <x:v>3.38</x:v>
      </x:c>
      <x:c r="W262" s="12" t="n">
        <x:f>ROUND((Q262*0.24)+(R262*0.22)+(S262*0.16)+(T262*0.18)+(U262*0.10)+(V262*0.10),2)</x:f>
        <x:v>3.96</x:v>
      </x:c>
      <x:c r="X262" t="str">
        <x:f>IF(W262&gt;=3.55,"Pass","Fail")</x:f>
        <x:v>Pass</x:v>
      </x:c>
      <x:c r="Y262" t="str">
        <x:v>motion slightly compressed</x:v>
      </x:c>
      <x:c r="Z262" t="str">
        <x:v>Review note: Usable, but I would not show it without review. The cordless driver is recognizable, yet the exact contact point is hard to see when the hand crosses the frame. This would be safer as a reference-aided run than a text-only run. For this woodworking example, the main judgment is still whether the viewer can copy the motion.</x:v>
      </x:c>
      <x:c r="AA262" t="str">
        <x:v>Add a one-sentence end-state requirement: viewer must see the completed driving result for one full second.</x:v>
      </x:c>
      <x:c r="AB262" t="str">
        <x:v>Medium-High</x:v>
      </x:c>
      <x:c r="AC262" t="str"/>
      <x:c r="AD262" t="str">
        <x:v>Synthetic benchmark entry; generated clip URL should be filled after API run.</x:v>
      </x:c>
    </x:row>
    <x:row r="263">
      <x:c r="A263" t="str">
        <x:v>S044-Kling-STR</x:v>
      </x:c>
      <x:c r="B263" t="str">
        <x:v>S044</x:v>
      </x:c>
      <x:c r="C263" t="str">
        <x:v>Woodworking</x:v>
      </x:c>
      <x:c r="D263" t="str">
        <x:v>fastening</x:v>
      </x:c>
      <x:c r="E263" t="str">
        <x:v>driving</x:v>
      </x:c>
      <x:c r="F263" t="n">
        <x:v>3</x:v>
      </x:c>
      <x:c r="G263" t="str">
        <x:v>drive a wood screw until the head sits flush</x:v>
      </x:c>
      <x:c r="H263" t="str">
        <x:v>cordless driver</x:v>
      </x:c>
      <x:c r="I263" t="str">
        <x:v>wood screw, pine board</x:v>
      </x:c>
      <x:c r="J263" t="str">
        <x:v>Kling v3.0 (Replicate)</x:v>
      </x:c>
      <x:c r="K263" t="str">
        <x:v>Structured Action-Object-Tool</x:v>
      </x:c>
      <x:c r="L263" t="str">
        <x:v>Action, tool, object, grip, contact point, start/end states.</x:v>
      </x:c>
      <x:c r="M263" t="str">
        <x:v>Close-up realistic instructional DIY video: drive a wood screw until the head sits flush. Show cordless driver working on wood screw, pine board. Hands visible, stable camera, no text overlay, neutral shop lighting. Action=driving; tool=cordless driver; object/material=wood screw, pine board; show tool-to-object contact; start state, motion, and finished state all visible.</x:v>
      </x:c>
      <x:c r="N263" s="14" t="n">
        <x:v>10</x:v>
      </x:c>
      <x:c r="O263" s="14" t="n">
        <x:v>100443</x:v>
      </x:c>
      <x:c r="P263" t="str">
        <x:v>R-E</x:v>
      </x:c>
      <x:c r="Q263" s="12" t="n">
        <x:v>3.85</x:v>
      </x:c>
      <x:c r="R263" s="12" t="n">
        <x:v>3.89</x:v>
      </x:c>
      <x:c r="S263" s="12" t="n">
        <x:v>3.8</x:v>
      </x:c>
      <x:c r="T263" s="12" t="n">
        <x:v>3.61</x:v>
      </x:c>
      <x:c r="U263" s="12" t="n">
        <x:v>3.79</x:v>
      </x:c>
      <x:c r="V263" s="12" t="n">
        <x:v>3.64</x:v>
      </x:c>
      <x:c r="W263" s="12" t="n">
        <x:f>ROUND((Q263*0.24)+(R263*0.22)+(S263*0.16)+(T263*0.18)+(U263*0.10)+(V263*0.10),2)</x:f>
        <x:v>3.78</x:v>
      </x:c>
      <x:c r="X263" t="str">
        <x:f>IF(W263&gt;=3.55,"Pass","Fail")</x:f>
        <x:v>Pass</x:v>
      </x:c>
      <x:c r="Y263" t="str">
        <x:v>motion slightly compressed</x:v>
      </x:c>
      <x:c r="Z263" t="str">
        <x:v>QA note: Looks plausible at first glance. On a second pass, the wood screw, pine board shifts slightly and the model seems to infer the outcome rather than show the full driving. On a small preview it might pass, but full-screen review exposes the issue. For this woodworking example, the main judgment is still whether the viewer can copy the motion.</x:v>
      </x:c>
      <x:c r="AA263" t="str">
        <x:v>Use a reference image for the cordless driver and specify its grip/orientation in plain language.</x:v>
      </x:c>
      <x:c r="AB263" t="str">
        <x:v>Medium-High</x:v>
      </x:c>
      <x:c r="AC263" t="str"/>
      <x:c r="AD263" t="str">
        <x:v>Mock rater record for experiment design; audit against real video outputs before publication.</x:v>
      </x:c>
    </x:row>
    <x:row r="264">
      <x:c r="A264" t="str">
        <x:v>S044-Pika-STR</x:v>
      </x:c>
      <x:c r="B264" t="str">
        <x:v>S044</x:v>
      </x:c>
      <x:c r="C264" t="str">
        <x:v>Woodworking</x:v>
      </x:c>
      <x:c r="D264" t="str">
        <x:v>fastening</x:v>
      </x:c>
      <x:c r="E264" t="str">
        <x:v>driving</x:v>
      </x:c>
      <x:c r="F264" t="n">
        <x:v>3</x:v>
      </x:c>
      <x:c r="G264" t="str">
        <x:v>drive a wood screw until the head sits flush</x:v>
      </x:c>
      <x:c r="H264" t="str">
        <x:v>cordless driver</x:v>
      </x:c>
      <x:c r="I264" t="str">
        <x:v>wood screw, pine board</x:v>
      </x:c>
      <x:c r="J264" t="str">
        <x:v>Pika 2.2</x:v>
      </x:c>
      <x:c r="K264" t="str">
        <x:v>Structured Action-Object-Tool</x:v>
      </x:c>
      <x:c r="L264" t="str">
        <x:v>Action, tool, object, grip, contact point, start/end states.</x:v>
      </x:c>
      <x:c r="M264" t="str">
        <x:v>Close-up realistic instructional DIY video: drive a wood screw until the head sits flush. Show cordless driver working on wood screw, pine board. Hands visible, stable camera, no text overlay, neutral shop lighting. Action=driving; tool=cordless driver; object/material=wood screw, pine board; show tool-to-object contact; start state, motion, and finished state all visible.</x:v>
      </x:c>
      <x:c r="N264" s="14" t="n">
        <x:v>5</x:v>
      </x:c>
      <x:c r="O264" s="14" t="n">
        <x:v>100444</x:v>
      </x:c>
      <x:c r="P264" t="str">
        <x:v>R-B</x:v>
      </x:c>
      <x:c r="Q264" s="12" t="n">
        <x:v>3.27</x:v>
      </x:c>
      <x:c r="R264" s="12" t="n">
        <x:v>3.53</x:v>
      </x:c>
      <x:c r="S264" s="12" t="n">
        <x:v>3.2</x:v>
      </x:c>
      <x:c r="T264" s="12" t="n">
        <x:v>3.69</x:v>
      </x:c>
      <x:c r="U264" s="12" t="n">
        <x:v>3.36</x:v>
      </x:c>
      <x:c r="V264" s="12" t="n">
        <x:v>2.92</x:v>
      </x:c>
      <x:c r="W264" s="12" t="n">
        <x:f>ROUND((Q264*0.24)+(R264*0.22)+(S264*0.16)+(T264*0.18)+(U264*0.10)+(V264*0.10),2)</x:f>
        <x:v>3.37</x:v>
      </x:c>
      <x:c r="X264" t="str">
        <x:f>IF(W264&gt;=3.55,"Pass","Fail")</x:f>
        <x:v>Fail</x:v>
      </x:c>
      <x:c r="Y264" t="str">
        <x:v>material looks wrong</x:v>
      </x:c>
      <x:c r="Z264" t="str">
        <x:v>Human check: A reviewer would likely reject this. It may be visually attractive, but the tool/object relationship breaks during the important moment. The clip needs a verifier pass before it can enter the training pool. For this woodworking example, the main judgment is still whether the viewer can copy the motion.</x:v>
      </x:c>
      <x:c r="AA264" t="str">
        <x:v>Use sequential context only for continuity, not for adding previous/next steps into the frame.</x:v>
      </x:c>
      <x:c r="AB264" t="str">
        <x:v>Medium</x:v>
      </x:c>
      <x:c r="AC264" t="str"/>
      <x:c r="AD264" t="str">
        <x:v>Synthetic benchmark entry; generated clip URL should be filled after API run.</x:v>
      </x:c>
    </x:row>
    <x:row r="265">
      <x:c r="A265" t="str">
        <x:v>S044-Vidu-STR</x:v>
      </x:c>
      <x:c r="B265" t="str">
        <x:v>S044</x:v>
      </x:c>
      <x:c r="C265" t="str">
        <x:v>Woodworking</x:v>
      </x:c>
      <x:c r="D265" t="str">
        <x:v>fastening</x:v>
      </x:c>
      <x:c r="E265" t="str">
        <x:v>driving</x:v>
      </x:c>
      <x:c r="F265" t="n">
        <x:v>3</x:v>
      </x:c>
      <x:c r="G265" t="str">
        <x:v>drive a wood screw until the head sits flush</x:v>
      </x:c>
      <x:c r="H265" t="str">
        <x:v>cordless driver</x:v>
      </x:c>
      <x:c r="I265" t="str">
        <x:v>wood screw, pine board</x:v>
      </x:c>
      <x:c r="J265" t="str">
        <x:v>Vidu 2.0</x:v>
      </x:c>
      <x:c r="K265" t="str">
        <x:v>Structured Action-Object-Tool</x:v>
      </x:c>
      <x:c r="L265" t="str">
        <x:v>Action, tool, object, grip, contact point, start/end states.</x:v>
      </x:c>
      <x:c r="M265" t="str">
        <x:v>Close-up realistic instructional DIY video: drive a wood screw until the head sits flush. Show cordless driver working on wood screw, pine board. Hands visible, stable camera, no text overlay, neutral shop lighting. Action=driving; tool=cordless driver; object/material=wood screw, pine board; show tool-to-object contact; start state, motion, and finished state all visible.</x:v>
      </x:c>
      <x:c r="N265" s="14" t="n">
        <x:v>5</x:v>
      </x:c>
      <x:c r="O265" s="14" t="n">
        <x:v>100445</x:v>
      </x:c>
      <x:c r="P265" t="str">
        <x:v>R-A</x:v>
      </x:c>
      <x:c r="Q265" s="12" t="n">
        <x:v>3.01</x:v>
      </x:c>
      <x:c r="R265" s="12" t="n">
        <x:v>3.43</x:v>
      </x:c>
      <x:c r="S265" s="12" t="n">
        <x:v>3.46</x:v>
      </x:c>
      <x:c r="T265" s="12" t="n">
        <x:v>3.75</x:v>
      </x:c>
      <x:c r="U265" s="12" t="n">
        <x:v>3.37</x:v>
      </x:c>
      <x:c r="V265" s="12" t="n">
        <x:v>3.33</x:v>
      </x:c>
      <x:c r="W265" s="12" t="n">
        <x:f>ROUND((Q265*0.24)+(R265*0.22)+(S265*0.16)+(T265*0.18)+(U265*0.10)+(V265*0.10),2)</x:f>
        <x:v>3.38</x:v>
      </x:c>
      <x:c r="X265" t="str">
        <x:f>IF(W265&gt;=3.55,"Pass","Fail")</x:f>
        <x:v>Fail</x:v>
      </x:c>
      <x:c r="Y265" t="str">
        <x:v>tool floats near object</x:v>
      </x:c>
      <x:c r="Z265" t="str">
        <x:v>Human check: A reviewer would likely reject this. It may be visually attractive, but the tool/object relationship breaks during the important moment. The next prompt should slow the final second instead of adding more scene detail. For this woodworking example, the main judgment is still whether the viewer can copy the motion.</x:v>
      </x:c>
      <x:c r="AA265" t="str">
        <x:v>Use a reference image for the cordless driver and specify its grip/orientation in plain language.</x:v>
      </x:c>
      <x:c r="AB265" t="str">
        <x:v>Medium</x:v>
      </x:c>
      <x:c r="AC265" t="str"/>
      <x:c r="AD265" t="str">
        <x:v>Simulated pilot row for planning; replace with blinded ratings after generating actual clips.</x:v>
      </x:c>
    </x:row>
    <x:row r="266">
      <x:c r="A266" t="str">
        <x:v>S045-Veo-MET</x:v>
      </x:c>
      <x:c r="B266" t="str">
        <x:v>S045</x:v>
      </x:c>
      <x:c r="C266" t="str">
        <x:v>Woodworking</x:v>
      </x:c>
      <x:c r="D266" t="str">
        <x:v>sanding</x:v>
      </x:c>
      <x:c r="E266" t="str">
        <x:v>sanding</x:v>
      </x:c>
      <x:c r="F266" t="n">
        <x:v>2</x:v>
      </x:c>
      <x:c r="G266" t="str">
        <x:v>sand a board edge with the grain using 120-grit paper</x:v>
      </x:c>
      <x:c r="H266" t="str">
        <x:v>sanding block</x:v>
      </x:c>
      <x:c r="I266" t="str">
        <x:v>board edge</x:v>
      </x:c>
      <x:c r="J266" t="str">
        <x:v>Veo 3.1</x:v>
      </x:c>
      <x:c r="K266" t="str">
        <x:v>Metadata-Enriched</x:v>
      </x:c>
      <x:c r="L266" t="str">
        <x:v>Uses clipDescription, clipSummary, toolNames, suppliesNames, processTechniques, safetyEquipment.</x:v>
      </x:c>
      <x:c r="M266" t="str">
        <x:v>Close-up realistic instructional DIY video: sand a board edge with the grain using 120-grit paper. Show sanding block working on board edge. Hands visible, stable camera, no text overlay, neutral shop lighting. clipDescription='sand a board edge with the grain using 120-grit paper'. clipSummary='one practical repair step'. toolNames='sanding block'. suppliesNames='board edge'. processTechnique='sanding'. Safety cue: use normal homeowner precautions and avoid risky shortcuts.</x:v>
      </x:c>
      <x:c r="N266" s="14" t="n">
        <x:v>8</x:v>
      </x:c>
      <x:c r="O266" s="14" t="n">
        <x:v>100450</x:v>
      </x:c>
      <x:c r="P266" t="str">
        <x:v>R-A</x:v>
      </x:c>
      <x:c r="Q266" s="12" t="n">
        <x:v>4.35</x:v>
      </x:c>
      <x:c r="R266" s="12" t="n">
        <x:v>4.4</x:v>
      </x:c>
      <x:c r="S266" s="12" t="n">
        <x:v>4.15</x:v>
      </x:c>
      <x:c r="T266" s="12" t="n">
        <x:v>4.92</x:v>
      </x:c>
      <x:c r="U266" s="12" t="n">
        <x:v>3.98</x:v>
      </x:c>
      <x:c r="V266" s="12" t="n">
        <x:v>3.75</x:v>
      </x:c>
      <x:c r="W266" s="12" t="n">
        <x:f>ROUND((Q266*0.24)+(R266*0.22)+(S266*0.16)+(T266*0.18)+(U266*0.10)+(V266*0.10),2)</x:f>
        <x:v>4.33</x:v>
      </x:c>
      <x:c r="X266" t="str">
        <x:f>IF(W266&gt;=3.55,"Pass","Fail")</x:f>
        <x:v>Pass</x:v>
      </x:c>
      <x:c r="Y266" t="str">
        <x:v>none</x:v>
      </x:c>
      <x:c r="Z266" t="str">
        <x:v>Rater note: Good continuity from frame to frame. The sanding block makes visual contact with the workpiece and the motion does not feel invented. The next prompt should slow the final second instead of adding more scene detail. For this woodworking example, the main judgment is still whether the viewer can copy the motion.</x:v>
      </x:c>
      <x:c r="AA266" t="str">
        <x:v>No immediate re-run; keep as candidate and verify with a second rater.</x:v>
      </x:c>
      <x:c r="AB266" t="str">
        <x:v>Medium</x:v>
      </x:c>
      <x:c r="AC266" t="str"/>
      <x:c r="AD266" t="str">
        <x:v>Planning dataset only; scores are plausible placeholders, not vendor claims.</x:v>
      </x:c>
    </x:row>
    <x:row r="267">
      <x:c r="A267" t="str">
        <x:v>S045-Sora-MET</x:v>
      </x:c>
      <x:c r="B267" t="str">
        <x:v>S045</x:v>
      </x:c>
      <x:c r="C267" t="str">
        <x:v>Woodworking</x:v>
      </x:c>
      <x:c r="D267" t="str">
        <x:v>sanding</x:v>
      </x:c>
      <x:c r="E267" t="str">
        <x:v>sanding</x:v>
      </x:c>
      <x:c r="F267" t="n">
        <x:v>2</x:v>
      </x:c>
      <x:c r="G267" t="str">
        <x:v>sand a board edge with the grain using 120-grit paper</x:v>
      </x:c>
      <x:c r="H267" t="str">
        <x:v>sanding block</x:v>
      </x:c>
      <x:c r="I267" t="str">
        <x:v>board edge</x:v>
      </x:c>
      <x:c r="J267" t="str">
        <x:v>Sora 2 Pro</x:v>
      </x:c>
      <x:c r="K267" t="str">
        <x:v>Metadata-Enriched</x:v>
      </x:c>
      <x:c r="L267" t="str">
        <x:v>Uses clipDescription, clipSummary, toolNames, suppliesNames, processTechniques, safetyEquipment.</x:v>
      </x:c>
      <x:c r="M267" t="str">
        <x:v>Close-up realistic instructional DIY video: sand a board edge with the grain using 120-grit paper. Show sanding block working on board edge. Hands visible, stable camera, no text overlay, neutral shop lighting. clipDescription='sand a board edge with the grain using 120-grit paper'. clipSummary='one practical repair step'. toolNames='sanding block'. suppliesNames='board edge'. processTechnique='sanding'. Safety cue: use normal homeowner precautions and avoid risky shortcuts.</x:v>
      </x:c>
      <x:c r="N267" s="14" t="n">
        <x:v>8</x:v>
      </x:c>
      <x:c r="O267" s="14" t="n">
        <x:v>100451</x:v>
      </x:c>
      <x:c r="P267" t="str">
        <x:v>R-C</x:v>
      </x:c>
      <x:c r="Q267" s="12" t="n">
        <x:v>4.4</x:v>
      </x:c>
      <x:c r="R267" s="12" t="n">
        <x:v>4.07</x:v>
      </x:c>
      <x:c r="S267" s="12" t="n">
        <x:v>3.95</x:v>
      </x:c>
      <x:c r="T267" s="12" t="n">
        <x:v>4.2</x:v>
      </x:c>
      <x:c r="U267" s="12" t="n">
        <x:v>4.06</x:v>
      </x:c>
      <x:c r="V267" s="12" t="n">
        <x:v>3.99</x:v>
      </x:c>
      <x:c r="W267" s="12" t="n">
        <x:f>ROUND((Q267*0.24)+(R267*0.22)+(S267*0.16)+(T267*0.18)+(U267*0.10)+(V267*0.10),2)</x:f>
        <x:v>4.14</x:v>
      </x:c>
      <x:c r="X267" t="str">
        <x:f>IF(W267&gt;=3.55,"Pass","Fail")</x:f>
        <x:v>Pass</x:v>
      </x:c>
      <x:c r="Y267" t="str">
        <x:v>tool pose a little soft</x:v>
      </x:c>
      <x:c r="Z267" t="str">
        <x:v>Rater note: Usable, but I would not show it without review. The sanding block is recognizable, yet the exact contact point is hard to see when the hand crosses the frame. The next prompt should slow the final second instead of adding more scene detail. For this woodworking example, the main judgment is still whether the viewer can copy the motion.</x:v>
      </x:c>
      <x:c r="AA267" t="str">
        <x:v>Ask for a static close-up and require the sanding block to touch the board edge before any motion starts.</x:v>
      </x:c>
      <x:c r="AB267" t="str">
        <x:v>High</x:v>
      </x:c>
      <x:c r="AC267" t="str"/>
      <x:c r="AD267" t="str">
        <x:v>Mock rater record for experiment design; audit against real video outputs before publication.</x:v>
      </x:c>
    </x:row>
    <x:row r="268">
      <x:c r="A268" t="str">
        <x:v>S045-Runway-MET</x:v>
      </x:c>
      <x:c r="B268" t="str">
        <x:v>S045</x:v>
      </x:c>
      <x:c r="C268" t="str">
        <x:v>Woodworking</x:v>
      </x:c>
      <x:c r="D268" t="str">
        <x:v>sanding</x:v>
      </x:c>
      <x:c r="E268" t="str">
        <x:v>sanding</x:v>
      </x:c>
      <x:c r="F268" t="n">
        <x:v>2</x:v>
      </x:c>
      <x:c r="G268" t="str">
        <x:v>sand a board edge with the grain using 120-grit paper</x:v>
      </x:c>
      <x:c r="H268" t="str">
        <x:v>sanding block</x:v>
      </x:c>
      <x:c r="I268" t="str">
        <x:v>board edge</x:v>
      </x:c>
      <x:c r="J268" t="str">
        <x:v>Runway Gen-4.5</x:v>
      </x:c>
      <x:c r="K268" t="str">
        <x:v>Metadata-Enriched</x:v>
      </x:c>
      <x:c r="L268" t="str">
        <x:v>Uses clipDescription, clipSummary, toolNames, suppliesNames, processTechniques, safetyEquipment.</x:v>
      </x:c>
      <x:c r="M268" t="str">
        <x:v>Close-up realistic instructional DIY video: sand a board edge with the grain using 120-grit paper. Show sanding block working on board edge. Hands visible, stable camera, no text overlay, neutral shop lighting. clipDescription='sand a board edge with the grain using 120-grit paper'. clipSummary='one practical repair step'. toolNames='sanding block'. suppliesNames='board edge'. processTechnique='sanding'. Safety cue: use normal homeowner precautions and avoid risky shortcuts.</x:v>
      </x:c>
      <x:c r="N268" s="14" t="n">
        <x:v>5</x:v>
      </x:c>
      <x:c r="O268" s="14" t="n">
        <x:v>100452</x:v>
      </x:c>
      <x:c r="P268" t="str">
        <x:v>R-B</x:v>
      </x:c>
      <x:c r="Q268" s="12" t="n">
        <x:v>4.33</x:v>
      </x:c>
      <x:c r="R268" s="12" t="n">
        <x:v>3.8</x:v>
      </x:c>
      <x:c r="S268" s="12" t="n">
        <x:v>4.25</x:v>
      </x:c>
      <x:c r="T268" s="12" t="n">
        <x:v>3.81</x:v>
      </x:c>
      <x:c r="U268" s="12" t="n">
        <x:v>3.93</x:v>
      </x:c>
      <x:c r="V268" s="12" t="n">
        <x:v>3.61</x:v>
      </x:c>
      <x:c r="W268" s="12" t="n">
        <x:f>ROUND((Q268*0.24)+(R268*0.22)+(S268*0.16)+(T268*0.18)+(U268*0.10)+(V268*0.10),2)</x:f>
        <x:v>4</x:v>
      </x:c>
      <x:c r="X268" t="str">
        <x:f>IF(W268&gt;=3.55,"Pass","Fail")</x:f>
        <x:v>Pass</x:v>
      </x:c>
      <x:c r="Y268" t="str">
        <x:v>motion slightly compressed</x:v>
      </x:c>
      <x:c r="Z268" t="str">
        <x:v>Clip review: Usable, but I would not show it without review. The sanding block is recognizable, yet the exact contact point is hard to see when the hand crosses the frame. The clip needs a verifier pass before it can enter the training pool. For this woodworking example, the main judgment is still whether the viewer can copy the motion.</x:v>
      </x:c>
      <x:c r="AA268" t="str">
        <x:v>Use a reference image for the sanding block and specify its grip/orientation in plain language.</x:v>
      </x:c>
      <x:c r="AB268" t="str">
        <x:v>Medium-High</x:v>
      </x:c>
      <x:c r="AC268" t="str"/>
      <x:c r="AD268" t="str">
        <x:v>Simulated pilot row for planning; replace with blinded ratings after generating actual clips.</x:v>
      </x:c>
    </x:row>
    <x:row r="269">
      <x:c r="A269" t="str">
        <x:v>S045-Kling-MET</x:v>
      </x:c>
      <x:c r="B269" t="str">
        <x:v>S045</x:v>
      </x:c>
      <x:c r="C269" t="str">
        <x:v>Woodworking</x:v>
      </x:c>
      <x:c r="D269" t="str">
        <x:v>sanding</x:v>
      </x:c>
      <x:c r="E269" t="str">
        <x:v>sanding</x:v>
      </x:c>
      <x:c r="F269" t="n">
        <x:v>2</x:v>
      </x:c>
      <x:c r="G269" t="str">
        <x:v>sand a board edge with the grain using 120-grit paper</x:v>
      </x:c>
      <x:c r="H269" t="str">
        <x:v>sanding block</x:v>
      </x:c>
      <x:c r="I269" t="str">
        <x:v>board edge</x:v>
      </x:c>
      <x:c r="J269" t="str">
        <x:v>Kling v3.0 (Replicate)</x:v>
      </x:c>
      <x:c r="K269" t="str">
        <x:v>Metadata-Enriched</x:v>
      </x:c>
      <x:c r="L269" t="str">
        <x:v>Uses clipDescription, clipSummary, toolNames, suppliesNames, processTechniques, safetyEquipment.</x:v>
      </x:c>
      <x:c r="M269" t="str">
        <x:v>Close-up realistic instructional DIY video: sand a board edge with the grain using 120-grit paper. Show sanding block working on board edge. Hands visible, stable camera, no text overlay, neutral shop lighting. clipDescription='sand a board edge with the grain using 120-grit paper'. clipSummary='one practical repair step'. toolNames='sanding block'. suppliesNames='board edge'. processTechnique='sanding'. Safety cue: use normal homeowner precautions and avoid risky shortcuts.</x:v>
      </x:c>
      <x:c r="N269" s="14" t="n">
        <x:v>10</x:v>
      </x:c>
      <x:c r="O269" s="14" t="n">
        <x:v>100453</x:v>
      </x:c>
      <x:c r="P269" t="str">
        <x:v>R-E</x:v>
      </x:c>
      <x:c r="Q269" s="12" t="n">
        <x:v>3.86</x:v>
      </x:c>
      <x:c r="R269" s="12" t="n">
        <x:v>3.83</x:v>
      </x:c>
      <x:c r="S269" s="12" t="n">
        <x:v>4.06</x:v>
      </x:c>
      <x:c r="T269" s="12" t="n">
        <x:v>4.19</x:v>
      </x:c>
      <x:c r="U269" s="12" t="n">
        <x:v>3.69</x:v>
      </x:c>
      <x:c r="V269" s="12" t="n">
        <x:v>3.4</x:v>
      </x:c>
      <x:c r="W269" s="12" t="n">
        <x:f>ROUND((Q269*0.24)+(R269*0.22)+(S269*0.16)+(T269*0.18)+(U269*0.10)+(V269*0.10),2)</x:f>
        <x:v>3.88</x:v>
      </x:c>
      <x:c r="X269" t="str">
        <x:f>IF(W269&gt;=3.55,"Pass","Fail")</x:f>
        <x:v>Pass</x:v>
      </x:c>
      <x:c r="Y269" t="str">
        <x:v>contact point hidden</x:v>
      </x:c>
      <x:c r="Z269" t="str">
        <x:v>QA note: The intention is clear, especially if you already know the step. A novice might miss the key detail because this issue appears right where the action should be most explicit: contact point hidden. On a small preview it might pass, but full-screen review exposes the issue. For this woodworking example, the main judgment is still whether the viewer can copy the motion.</x:v>
      </x:c>
      <x:c r="AA269" t="str">
        <x:v>Specify the exact contact point and do not allow the hand to cover it.</x:v>
      </x:c>
      <x:c r="AB269" t="str">
        <x:v>Medium</x:v>
      </x:c>
      <x:c r="AC269" t="str"/>
      <x:c r="AD269" t="str">
        <x:v>Synthetic benchmark entry; generated clip URL should be filled after API run.</x:v>
      </x:c>
    </x:row>
    <x:row r="270">
      <x:c r="A270" t="str">
        <x:v>S045-Pika-MET</x:v>
      </x:c>
      <x:c r="B270" t="str">
        <x:v>S045</x:v>
      </x:c>
      <x:c r="C270" t="str">
        <x:v>Woodworking</x:v>
      </x:c>
      <x:c r="D270" t="str">
        <x:v>sanding</x:v>
      </x:c>
      <x:c r="E270" t="str">
        <x:v>sanding</x:v>
      </x:c>
      <x:c r="F270" t="n">
        <x:v>2</x:v>
      </x:c>
      <x:c r="G270" t="str">
        <x:v>sand a board edge with the grain using 120-grit paper</x:v>
      </x:c>
      <x:c r="H270" t="str">
        <x:v>sanding block</x:v>
      </x:c>
      <x:c r="I270" t="str">
        <x:v>board edge</x:v>
      </x:c>
      <x:c r="J270" t="str">
        <x:v>Pika 2.2</x:v>
      </x:c>
      <x:c r="K270" t="str">
        <x:v>Metadata-Enriched</x:v>
      </x:c>
      <x:c r="L270" t="str">
        <x:v>Uses clipDescription, clipSummary, toolNames, suppliesNames, processTechniques, safetyEquipment.</x:v>
      </x:c>
      <x:c r="M270" t="str">
        <x:v>Close-up realistic instructional DIY video: sand a board edge with the grain using 120-grit paper. Show sanding block working on board edge. Hands visible, stable camera, no text overlay, neutral shop lighting. clipDescription='sand a board edge with the grain using 120-grit paper'. clipSummary='one practical repair step'. toolNames='sanding block'. suppliesNames='board edge'. processTechnique='sanding'. Safety cue: use normal homeowner precautions and avoid risky shortcuts.</x:v>
      </x:c>
      <x:c r="N270" s="14" t="n">
        <x:v>5</x:v>
      </x:c>
      <x:c r="O270" s="14" t="n">
        <x:v>100454</x:v>
      </x:c>
      <x:c r="P270" t="str">
        <x:v>R-A</x:v>
      </x:c>
      <x:c r="Q270" s="12" t="n">
        <x:v>3.82</x:v>
      </x:c>
      <x:c r="R270" s="12" t="n">
        <x:v>3.61</x:v>
      </x:c>
      <x:c r="S270" s="12" t="n">
        <x:v>3.58</x:v>
      </x:c>
      <x:c r="T270" s="12" t="n">
        <x:v>3.6</x:v>
      </x:c>
      <x:c r="U270" s="12" t="n">
        <x:v>3.91</x:v>
      </x:c>
      <x:c r="V270" s="12" t="n">
        <x:v>3.35</x:v>
      </x:c>
      <x:c r="W270" s="12" t="n">
        <x:f>ROUND((Q270*0.24)+(R270*0.22)+(S270*0.16)+(T270*0.18)+(U270*0.10)+(V270*0.10),2)</x:f>
        <x:v>3.66</x:v>
      </x:c>
      <x:c r="X270" t="str">
        <x:f>IF(W270&gt;=3.55,"Pass","Fail")</x:f>
        <x:v>Pass</x:v>
      </x:c>
      <x:c r="Y270" t="str">
        <x:v>camera blocks work</x:v>
      </x:c>
      <x:c r="Z270" t="str">
        <x:v>Rater note: The intention is clear, especially if you already know the step. A novice might miss the key detail because this issue appears right where the action should be most explicit: camera blocks work. The clip needs a verifier pass before it can enter the training pool. For this woodworking example, the main judgment is still whether the viewer can copy the motion.</x:v>
      </x:c>
      <x:c r="AA270" t="str">
        <x:v>Break the action into start, contact, movement, and finish; ban extra tools and hand morphing.</x:v>
      </x:c>
      <x:c r="AB270" t="str">
        <x:v>High</x:v>
      </x:c>
      <x:c r="AC270" t="str"/>
      <x:c r="AD270" t="str">
        <x:v>Mock rater record for experiment design; audit against real video outputs before publication.</x:v>
      </x:c>
    </x:row>
    <x:row r="271">
      <x:c r="A271" t="str">
        <x:v>S045-Vidu-MET</x:v>
      </x:c>
      <x:c r="B271" t="str">
        <x:v>S045</x:v>
      </x:c>
      <x:c r="C271" t="str">
        <x:v>Woodworking</x:v>
      </x:c>
      <x:c r="D271" t="str">
        <x:v>sanding</x:v>
      </x:c>
      <x:c r="E271" t="str">
        <x:v>sanding</x:v>
      </x:c>
      <x:c r="F271" t="n">
        <x:v>2</x:v>
      </x:c>
      <x:c r="G271" t="str">
        <x:v>sand a board edge with the grain using 120-grit paper</x:v>
      </x:c>
      <x:c r="H271" t="str">
        <x:v>sanding block</x:v>
      </x:c>
      <x:c r="I271" t="str">
        <x:v>board edge</x:v>
      </x:c>
      <x:c r="J271" t="str">
        <x:v>Vidu 2.0</x:v>
      </x:c>
      <x:c r="K271" t="str">
        <x:v>Metadata-Enriched</x:v>
      </x:c>
      <x:c r="L271" t="str">
        <x:v>Uses clipDescription, clipSummary, toolNames, suppliesNames, processTechniques, safetyEquipment.</x:v>
      </x:c>
      <x:c r="M271" t="str">
        <x:v>Close-up realistic instructional DIY video: sand a board edge with the grain using 120-grit paper. Show sanding block working on board edge. Hands visible, stable camera, no text overlay, neutral shop lighting. clipDescription='sand a board edge with the grain using 120-grit paper'. clipSummary='one practical repair step'. toolNames='sanding block'. suppliesNames='board edge'. processTechnique='sanding'. Safety cue: use normal homeowner precautions and avoid risky shortcuts.</x:v>
      </x:c>
      <x:c r="N271" s="14" t="n">
        <x:v>5</x:v>
      </x:c>
      <x:c r="O271" s="14" t="n">
        <x:v>100455</x:v>
      </x:c>
      <x:c r="P271" t="str">
        <x:v>R-A</x:v>
      </x:c>
      <x:c r="Q271" s="12" t="n">
        <x:v>3.55</x:v>
      </x:c>
      <x:c r="R271" s="12" t="n">
        <x:v>3.58</x:v>
      </x:c>
      <x:c r="S271" s="12" t="n">
        <x:v>3.13</x:v>
      </x:c>
      <x:c r="T271" s="12" t="n">
        <x:v>3.32</x:v>
      </x:c>
      <x:c r="U271" s="12" t="n">
        <x:v>3.6</x:v>
      </x:c>
      <x:c r="V271" s="12" t="n">
        <x:v>3.63</x:v>
      </x:c>
      <x:c r="W271" s="12" t="n">
        <x:f>ROUND((Q271*0.24)+(R271*0.22)+(S271*0.16)+(T271*0.18)+(U271*0.10)+(V271*0.10),2)</x:f>
        <x:v>3.46</x:v>
      </x:c>
      <x:c r="X271" t="str">
        <x:f>IF(W271&gt;=3.55,"Pass","Fail")</x:f>
        <x:v>Fail</x:v>
      </x:c>
      <x:c r="Y271" t="str">
        <x:v>material looks wrong</x:v>
      </x:c>
      <x:c r="Z271" t="str">
        <x:v>Rater note: The clip looks like generic DIY stock footage rather than this specific step. The main problem is material looks wrong, and the end state is not verifiable. On a small preview it might pass, but full-screen review exposes the issue. For this woodworking example, the main judgment is still whether the viewer can copy the motion.</x:v>
      </x:c>
      <x:c r="AA271" t="str">
        <x:v>Ask for a static close-up and require the sanding block to touch the board edge before any motion starts.</x:v>
      </x:c>
      <x:c r="AB271" t="str">
        <x:v>Medium-High</x:v>
      </x:c>
      <x:c r="AC271" t="str"/>
      <x:c r="AD271" t="str">
        <x:v>Planning dataset only; scores are plausible placeholders, not vendor claims.</x:v>
      </x:c>
    </x:row>
    <x:row r="272">
      <x:c r="A272" t="str">
        <x:v>S046-Veo-REF</x:v>
      </x:c>
      <x:c r="B272" t="str">
        <x:v>S046</x:v>
      </x:c>
      <x:c r="C272" t="str">
        <x:v>Woodworking</x:v>
      </x:c>
      <x:c r="D272" t="str">
        <x:v>joinery</x:v>
      </x:c>
      <x:c r="E272" t="str">
        <x:v>clamping</x:v>
      </x:c>
      <x:c r="F272" t="n">
        <x:v>3</x:v>
      </x:c>
      <x:c r="G272" t="str">
        <x:v>clamp two boards edge to edge for glue-up</x:v>
      </x:c>
      <x:c r="H272" t="str">
        <x:v>bar clamp</x:v>
      </x:c>
      <x:c r="I272" t="str">
        <x:v>two boards, wood glue</x:v>
      </x:c>
      <x:c r="J272" t="str">
        <x:v>Veo 3.1</x:v>
      </x:c>
      <x:c r="K272" t="str">
        <x:v>Reference-Guided</x:v>
      </x:c>
      <x:c r="L272" t="str">
        <x:v>Adds reference-tool/image cue and brand-agnostic visual constraints.</x:v>
      </x:c>
      <x:c r="M272" t="str">
        <x:v>Close-up realistic instructional DIY video: clamp two boards edge to edge for glue-up. Show bar clamp working on two boards, wood glue. Hands visible, stable camera, no text overlay, neutral shop lighting. Use a generic, brand-agnostic visual reference for the bar clamp; preserve the tool shape and scale; the bar clamp must remain in contact with two boards, wood glue during the key motion.</x:v>
      </x:c>
      <x:c r="N272" s="14" t="n">
        <x:v>8</x:v>
      </x:c>
      <x:c r="O272" s="14" t="n">
        <x:v>100460</x:v>
      </x:c>
      <x:c r="P272" t="str">
        <x:v>R-B</x:v>
      </x:c>
      <x:c r="Q272" s="12" t="n">
        <x:v>4.4</x:v>
      </x:c>
      <x:c r="R272" s="12" t="n">
        <x:v>4.25</x:v>
      </x:c>
      <x:c r="S272" s="12" t="n">
        <x:v>3.99</x:v>
      </x:c>
      <x:c r="T272" s="12" t="n">
        <x:v>4.03</x:v>
      </x:c>
      <x:c r="U272" s="12" t="n">
        <x:v>4.05</x:v>
      </x:c>
      <x:c r="V272" s="12" t="n">
        <x:v>4.8</x:v>
      </x:c>
      <x:c r="W272" s="12" t="n">
        <x:f>ROUND((Q272*0.24)+(R272*0.22)+(S272*0.16)+(T272*0.18)+(U272*0.10)+(V272*0.10),2)</x:f>
        <x:v>4.24</x:v>
      </x:c>
      <x:c r="X272" t="str">
        <x:f>IF(W272&gt;=3.55,"Pass","Fail")</x:f>
        <x:v>Pass</x:v>
      </x:c>
      <x:c r="Y272" t="str">
        <x:v>endpoint not visible</x:v>
      </x:c>
      <x:c r="Z272" t="str">
        <x:v>Rater note: Best part is the pacing: it gives enough time to understand clamping without turning into a beauty shot. Minor issue: occasional extra hand. The tool silhouette is acceptable; the mechanics are the weak part. For this woodworking example, the main judgment is still whether the viewer can copy the motion.</x:v>
      </x:c>
      <x:c r="AA272" t="str">
        <x:v>Add a one-sentence end-state requirement: viewer must see the completed clamping result for one full second.</x:v>
      </x:c>
      <x:c r="AB272" t="str">
        <x:v>Medium-High</x:v>
      </x:c>
      <x:c r="AC272" t="str"/>
      <x:c r="AD272" t="str">
        <x:v>Synthetic benchmark entry; generated clip URL should be filled after API run.</x:v>
      </x:c>
    </x:row>
    <x:row r="273">
      <x:c r="A273" t="str">
        <x:v>S046-Sora-REF</x:v>
      </x:c>
      <x:c r="B273" t="str">
        <x:v>S046</x:v>
      </x:c>
      <x:c r="C273" t="str">
        <x:v>Woodworking</x:v>
      </x:c>
      <x:c r="D273" t="str">
        <x:v>joinery</x:v>
      </x:c>
      <x:c r="E273" t="str">
        <x:v>clamping</x:v>
      </x:c>
      <x:c r="F273" t="n">
        <x:v>3</x:v>
      </x:c>
      <x:c r="G273" t="str">
        <x:v>clamp two boards edge to edge for glue-up</x:v>
      </x:c>
      <x:c r="H273" t="str">
        <x:v>bar clamp</x:v>
      </x:c>
      <x:c r="I273" t="str">
        <x:v>two boards, wood glue</x:v>
      </x:c>
      <x:c r="J273" t="str">
        <x:v>Sora 2 Pro</x:v>
      </x:c>
      <x:c r="K273" t="str">
        <x:v>Reference-Guided</x:v>
      </x:c>
      <x:c r="L273" t="str">
        <x:v>Adds reference-tool/image cue and brand-agnostic visual constraints.</x:v>
      </x:c>
      <x:c r="M273" t="str">
        <x:v>Close-up realistic instructional DIY video: clamp two boards edge to edge for glue-up. Show bar clamp working on two boards, wood glue. Hands visible, stable camera, no text overlay, neutral shop lighting. Use a generic, brand-agnostic visual reference for the bar clamp; preserve the tool shape and scale; the bar clamp must remain in contact with two boards, wood glue during the key motion.</x:v>
      </x:c>
      <x:c r="N273" s="14" t="n">
        <x:v>8</x:v>
      </x:c>
      <x:c r="O273" s="14" t="n">
        <x:v>100461</x:v>
      </x:c>
      <x:c r="P273" t="str">
        <x:v>R-A</x:v>
      </x:c>
      <x:c r="Q273" s="12" t="n">
        <x:v>4.44</x:v>
      </x:c>
      <x:c r="R273" s="12" t="n">
        <x:v>4.13</x:v>
      </x:c>
      <x:c r="S273" s="12" t="n">
        <x:v>4.64</x:v>
      </x:c>
      <x:c r="T273" s="12" t="n">
        <x:v>4.22</x:v>
      </x:c>
      <x:c r="U273" s="12" t="n">
        <x:v>4.35</x:v>
      </x:c>
      <x:c r="V273" s="12" t="n">
        <x:v>4.54</x:v>
      </x:c>
      <x:c r="W273" s="12" t="n">
        <x:f>ROUND((Q273*0.24)+(R273*0.22)+(S273*0.16)+(T273*0.18)+(U273*0.10)+(V273*0.10),2)</x:f>
        <x:v>4.37</x:v>
      </x:c>
      <x:c r="X273" t="str">
        <x:f>IF(W273&gt;=3.55,"Pass","Fail")</x:f>
        <x:v>Pass</x:v>
      </x:c>
      <x:c r="Y273" t="str">
        <x:v>none</x:v>
      </x:c>
      <x:c r="Z273" t="str">
        <x:v>Review note: Best part is the pacing: it gives enough time to understand clamping without turning into a beauty shot. Minor issue: implied contact instead of visible contact. The issue is subtle visually, but it matters because the clip is supposed to teach the technique. For this woodworking example, the main judgment is still whether the viewer can copy the motion.</x:v>
      </x:c>
      <x:c r="AA273" t="str">
        <x:v>No immediate re-run; keep as candidate and verify with a second rater.</x:v>
      </x:c>
      <x:c r="AB273" t="str">
        <x:v>High</x:v>
      </x:c>
      <x:c r="AC273" t="str"/>
      <x:c r="AD273" t="str">
        <x:v>Simulated pilot row for planning; replace with blinded ratings after generating actual clips.</x:v>
      </x:c>
    </x:row>
    <x:row r="274">
      <x:c r="A274" t="str">
        <x:v>S046-Runway-REF</x:v>
      </x:c>
      <x:c r="B274" t="str">
        <x:v>S046</x:v>
      </x:c>
      <x:c r="C274" t="str">
        <x:v>Woodworking</x:v>
      </x:c>
      <x:c r="D274" t="str">
        <x:v>joinery</x:v>
      </x:c>
      <x:c r="E274" t="str">
        <x:v>clamping</x:v>
      </x:c>
      <x:c r="F274" t="n">
        <x:v>3</x:v>
      </x:c>
      <x:c r="G274" t="str">
        <x:v>clamp two boards edge to edge for glue-up</x:v>
      </x:c>
      <x:c r="H274" t="str">
        <x:v>bar clamp</x:v>
      </x:c>
      <x:c r="I274" t="str">
        <x:v>two boards, wood glue</x:v>
      </x:c>
      <x:c r="J274" t="str">
        <x:v>Runway Gen-4.5</x:v>
      </x:c>
      <x:c r="K274" t="str">
        <x:v>Reference-Guided</x:v>
      </x:c>
      <x:c r="L274" t="str">
        <x:v>Adds reference-tool/image cue and brand-agnostic visual constraints.</x:v>
      </x:c>
      <x:c r="M274" t="str">
        <x:v>Close-up realistic instructional DIY video: clamp two boards edge to edge for glue-up. Show bar clamp working on two boards, wood glue. Hands visible, stable camera, no text overlay, neutral shop lighting. Use a generic, brand-agnostic visual reference for the bar clamp; preserve the tool shape and scale; the bar clamp must remain in contact with two boards, wood glue during the key motion.</x:v>
      </x:c>
      <x:c r="N274" s="14" t="n">
        <x:v>5</x:v>
      </x:c>
      <x:c r="O274" s="14" t="n">
        <x:v>100462</x:v>
      </x:c>
      <x:c r="P274" t="str">
        <x:v>R-B</x:v>
      </x:c>
      <x:c r="Q274" s="12" t="n">
        <x:v>4.24</x:v>
      </x:c>
      <x:c r="R274" s="12" t="n">
        <x:v>4.65</x:v>
      </x:c>
      <x:c r="S274" s="12" t="n">
        <x:v>3.65</x:v>
      </x:c>
      <x:c r="T274" s="12" t="n">
        <x:v>3.89</x:v>
      </x:c>
      <x:c r="U274" s="12" t="n">
        <x:v>4.23</x:v>
      </x:c>
      <x:c r="V274" s="12" t="n">
        <x:v>4.01</x:v>
      </x:c>
      <x:c r="W274" s="12" t="n">
        <x:f>ROUND((Q274*0.24)+(R274*0.22)+(S274*0.16)+(T274*0.18)+(U274*0.10)+(V274*0.10),2)</x:f>
        <x:v>4.15</x:v>
      </x:c>
      <x:c r="X274" t="str">
        <x:f>IF(W274&gt;=3.55,"Pass","Fail")</x:f>
        <x:v>Pass</x:v>
      </x:c>
      <x:c r="Y274" t="str">
        <x:v>minor continuity jump</x:v>
      </x:c>
      <x:c r="Z274" t="str">
        <x:v>Human check: Best part is the pacing: it gives enough time to understand clamping without turning into a beauty shot. Minor issue: hand occludes the exact contact point. The tool silhouette is acceptable; the mechanics are the weak part. For this woodworking example, the main judgment is still whether the viewer can copy the motion.</x:v>
      </x:c>
      <x:c r="AA274" t="str">
        <x:v>Ask for a static close-up and require the bar clamp to touch the two boards, wood glue before any motion starts.</x:v>
      </x:c>
      <x:c r="AB274" t="str">
        <x:v>Medium</x:v>
      </x:c>
      <x:c r="AC274" t="str"/>
      <x:c r="AD274" t="str">
        <x:v>Planning dataset only; scores are plausible placeholders, not vendor claims.</x:v>
      </x:c>
    </x:row>
    <x:row r="275">
      <x:c r="A275" t="str">
        <x:v>S046-Kling-REF</x:v>
      </x:c>
      <x:c r="B275" t="str">
        <x:v>S046</x:v>
      </x:c>
      <x:c r="C275" t="str">
        <x:v>Woodworking</x:v>
      </x:c>
      <x:c r="D275" t="str">
        <x:v>joinery</x:v>
      </x:c>
      <x:c r="E275" t="str">
        <x:v>clamping</x:v>
      </x:c>
      <x:c r="F275" t="n">
        <x:v>3</x:v>
      </x:c>
      <x:c r="G275" t="str">
        <x:v>clamp two boards edge to edge for glue-up</x:v>
      </x:c>
      <x:c r="H275" t="str">
        <x:v>bar clamp</x:v>
      </x:c>
      <x:c r="I275" t="str">
        <x:v>two boards, wood glue</x:v>
      </x:c>
      <x:c r="J275" t="str">
        <x:v>Kling v3.0 (Replicate)</x:v>
      </x:c>
      <x:c r="K275" t="str">
        <x:v>Reference-Guided</x:v>
      </x:c>
      <x:c r="L275" t="str">
        <x:v>Adds reference-tool/image cue and brand-agnostic visual constraints.</x:v>
      </x:c>
      <x:c r="M275" t="str">
        <x:v>Close-up realistic instructional DIY video: clamp two boards edge to edge for glue-up. Show bar clamp working on two boards, wood glue. Hands visible, stable camera, no text overlay, neutral shop lighting. Use a generic, brand-agnostic visual reference for the bar clamp; preserve the tool shape and scale; the bar clamp must remain in contact with two boards, wood glue during the key motion.</x:v>
      </x:c>
      <x:c r="N275" s="14" t="n">
        <x:v>10</x:v>
      </x:c>
      <x:c r="O275" s="14" t="n">
        <x:v>100463</x:v>
      </x:c>
      <x:c r="P275" t="str">
        <x:v>R-D</x:v>
      </x:c>
      <x:c r="Q275" s="12" t="n">
        <x:v>4.03</x:v>
      </x:c>
      <x:c r="R275" s="12" t="n">
        <x:v>4.14</x:v>
      </x:c>
      <x:c r="S275" s="12" t="n">
        <x:v>4.12</x:v>
      </x:c>
      <x:c r="T275" s="12" t="n">
        <x:v>3.89</x:v>
      </x:c>
      <x:c r="U275" s="12" t="n">
        <x:v>3.97</x:v>
      </x:c>
      <x:c r="V275" s="12" t="n">
        <x:v>4.16</x:v>
      </x:c>
      <x:c r="W275" s="12" t="n">
        <x:f>ROUND((Q275*0.24)+(R275*0.22)+(S275*0.16)+(T275*0.18)+(U275*0.10)+(V275*0.10),2)</x:f>
        <x:v>4.05</x:v>
      </x:c>
      <x:c r="X275" t="str">
        <x:f>IF(W275&gt;=3.55,"Pass","Fail")</x:f>
        <x:v>Pass</x:v>
      </x:c>
      <x:c r="Y275" t="str">
        <x:v>minor continuity jump</x:v>
      </x:c>
      <x:c r="Z275" t="str">
        <x:v>Rater note: Looks plausible at first glance. On a second pass, the two boards, wood glue shifts slightly and the model seems to infer the outcome rather than show the full clamping. The tool silhouette is acceptable; the mechanics are the weak part. For this woodworking example, the main judgment is still whether the viewer can copy the motion.</x:v>
      </x:c>
      <x:c r="AA275" t="str">
        <x:v>Specify the exact contact point and do not allow the hand to cover it.</x:v>
      </x:c>
      <x:c r="AB275" t="str">
        <x:v>Medium</x:v>
      </x:c>
      <x:c r="AC275" t="str"/>
      <x:c r="AD275" t="str">
        <x:v>Mock rater record for experiment design; audit against real video outputs before publication.</x:v>
      </x:c>
    </x:row>
    <x:row r="276">
      <x:c r="A276" t="str">
        <x:v>S046-Pika-REF</x:v>
      </x:c>
      <x:c r="B276" t="str">
        <x:v>S046</x:v>
      </x:c>
      <x:c r="C276" t="str">
        <x:v>Woodworking</x:v>
      </x:c>
      <x:c r="D276" t="str">
        <x:v>joinery</x:v>
      </x:c>
      <x:c r="E276" t="str">
        <x:v>clamping</x:v>
      </x:c>
      <x:c r="F276" t="n">
        <x:v>3</x:v>
      </x:c>
      <x:c r="G276" t="str">
        <x:v>clamp two boards edge to edge for glue-up</x:v>
      </x:c>
      <x:c r="H276" t="str">
        <x:v>bar clamp</x:v>
      </x:c>
      <x:c r="I276" t="str">
        <x:v>two boards, wood glue</x:v>
      </x:c>
      <x:c r="J276" t="str">
        <x:v>Pika 2.2</x:v>
      </x:c>
      <x:c r="K276" t="str">
        <x:v>Reference-Guided</x:v>
      </x:c>
      <x:c r="L276" t="str">
        <x:v>Adds reference-tool/image cue and brand-agnostic visual constraints.</x:v>
      </x:c>
      <x:c r="M276" t="str">
        <x:v>Close-up realistic instructional DIY video: clamp two boards edge to edge for glue-up. Show bar clamp working on two boards, wood glue. Hands visible, stable camera, no text overlay, neutral shop lighting. Use a generic, brand-agnostic visual reference for the bar clamp; preserve the tool shape and scale; the bar clamp must remain in contact with two boards, wood glue during the key motion.</x:v>
      </x:c>
      <x:c r="N276" s="14" t="n">
        <x:v>5</x:v>
      </x:c>
      <x:c r="O276" s="14" t="n">
        <x:v>100464</x:v>
      </x:c>
      <x:c r="P276" t="str">
        <x:v>R-D</x:v>
      </x:c>
      <x:c r="Q276" s="12" t="n">
        <x:v>3.37</x:v>
      </x:c>
      <x:c r="R276" s="12" t="n">
        <x:v>3.68</x:v>
      </x:c>
      <x:c r="S276" s="12" t="n">
        <x:v>3.25</x:v>
      </x:c>
      <x:c r="T276" s="12" t="n">
        <x:v>3.62</x:v>
      </x:c>
      <x:c r="U276" s="12" t="n">
        <x:v>3.73</x:v>
      </x:c>
      <x:c r="V276" s="12" t="n">
        <x:v>3.24</x:v>
      </x:c>
      <x:c r="W276" s="12" t="n">
        <x:f>ROUND((Q276*0.24)+(R276*0.22)+(S276*0.16)+(T276*0.18)+(U276*0.10)+(V276*0.10),2)</x:f>
        <x:v>3.49</x:v>
      </x:c>
      <x:c r="X276" t="str">
        <x:f>IF(W276&gt;=3.55,"Pass","Fail")</x:f>
        <x:v>Fail</x:v>
      </x:c>
      <x:c r="Y276" t="str">
        <x:v>object morphs</x:v>
      </x:c>
      <x:c r="Z276" t="str">
        <x:v>Human check: The clip looks like generic DIY stock footage rather than this specific step. The main problem is object morphs, and the end state is not verifiable. The tool silhouette is acceptable; the mechanics are the weak part. For this woodworking example, the main judgment is still whether the viewer can copy the motion.</x:v>
      </x:c>
      <x:c r="AA276" t="str">
        <x:v>Use sequential context only for continuity, not for adding previous/next steps into the frame.</x:v>
      </x:c>
      <x:c r="AB276" t="str">
        <x:v>Medium</x:v>
      </x:c>
      <x:c r="AC276" t="str"/>
      <x:c r="AD276" t="str">
        <x:v>Planning dataset only; scores are plausible placeholders, not vendor claims.</x:v>
      </x:c>
    </x:row>
    <x:row r="277">
      <x:c r="A277" t="str">
        <x:v>S046-Vidu-REF</x:v>
      </x:c>
      <x:c r="B277" t="str">
        <x:v>S046</x:v>
      </x:c>
      <x:c r="C277" t="str">
        <x:v>Woodworking</x:v>
      </x:c>
      <x:c r="D277" t="str">
        <x:v>joinery</x:v>
      </x:c>
      <x:c r="E277" t="str">
        <x:v>clamping</x:v>
      </x:c>
      <x:c r="F277" t="n">
        <x:v>3</x:v>
      </x:c>
      <x:c r="G277" t="str">
        <x:v>clamp two boards edge to edge for glue-up</x:v>
      </x:c>
      <x:c r="H277" t="str">
        <x:v>bar clamp</x:v>
      </x:c>
      <x:c r="I277" t="str">
        <x:v>two boards, wood glue</x:v>
      </x:c>
      <x:c r="J277" t="str">
        <x:v>Vidu 2.0</x:v>
      </x:c>
      <x:c r="K277" t="str">
        <x:v>Reference-Guided</x:v>
      </x:c>
      <x:c r="L277" t="str">
        <x:v>Adds reference-tool/image cue and brand-agnostic visual constraints.</x:v>
      </x:c>
      <x:c r="M277" t="str">
        <x:v>Close-up realistic instructional DIY video: clamp two boards edge to edge for glue-up. Show bar clamp working on two boards, wood glue. Hands visible, stable camera, no text overlay, neutral shop lighting. Use a generic, brand-agnostic visual reference for the bar clamp; preserve the tool shape and scale; the bar clamp must remain in contact with two boards, wood glue during the key motion.</x:v>
      </x:c>
      <x:c r="N277" s="14" t="n">
        <x:v>5</x:v>
      </x:c>
      <x:c r="O277" s="14" t="n">
        <x:v>100465</x:v>
      </x:c>
      <x:c r="P277" t="str">
        <x:v>R-D</x:v>
      </x:c>
      <x:c r="Q277" s="12" t="n">
        <x:v>3.08</x:v>
      </x:c>
      <x:c r="R277" s="12" t="n">
        <x:v>3.48</x:v>
      </x:c>
      <x:c r="S277" s="12" t="n">
        <x:v>3.28</x:v>
      </x:c>
      <x:c r="T277" s="12" t="n">
        <x:v>3.17</x:v>
      </x:c>
      <x:c r="U277" s="12" t="n">
        <x:v>3.48</x:v>
      </x:c>
      <x:c r="V277" s="12" t="n">
        <x:v>3.54</x:v>
      </x:c>
      <x:c r="W277" s="12" t="n">
        <x:f>ROUND((Q277*0.24)+(R277*0.22)+(S277*0.16)+(T277*0.18)+(U277*0.10)+(V277*0.10),2)</x:f>
        <x:v>3.3</x:v>
      </x:c>
      <x:c r="X277" t="str">
        <x:f>IF(W277&gt;=3.55,"Pass","Fail")</x:f>
        <x:v>Fail</x:v>
      </x:c>
      <x:c r="Y277" t="str">
        <x:v>action starts too late</x:v>
      </x:c>
      <x:c r="Z277" t="str">
        <x:v>Review note: A reviewer would likely reject this. It may be visually attractive, but the tool/object relationship breaks during the important moment. The prompt should prioritize hand path over cinematic lighting. For this woodworking example, the main judgment is still whether the viewer can copy the motion.</x:v>
      </x:c>
      <x:c r="AA277" t="str">
        <x:v>Break the action into start, contact, movement, and finish; ban extra tools and hand morphing.</x:v>
      </x:c>
      <x:c r="AB277" t="str">
        <x:v>Medium-High</x:v>
      </x:c>
      <x:c r="AC277" t="str"/>
      <x:c r="AD277" t="str">
        <x:v>Simulated pilot row for planning; replace with blinded ratings after generating actual clips.</x:v>
      </x:c>
    </x:row>
    <x:row r="278">
      <x:c r="A278" t="str">
        <x:v>S047-Veo-SEQ</x:v>
      </x:c>
      <x:c r="B278" t="str">
        <x:v>S047</x:v>
      </x:c>
      <x:c r="C278" t="str">
        <x:v>Woodworking</x:v>
      </x:c>
      <x:c r="D278" t="str">
        <x:v>gluing</x:v>
      </x:c>
      <x:c r="E278" t="str">
        <x:v>spreading</x:v>
      </x:c>
      <x:c r="F278" t="n">
        <x:v>2</x:v>
      </x:c>
      <x:c r="G278" t="str">
        <x:v>spread a thin line of wood glue along a joint</x:v>
      </x:c>
      <x:c r="H278" t="str">
        <x:v>glue bottle</x:v>
      </x:c>
      <x:c r="I278" t="str">
        <x:v>board edge joint</x:v>
      </x:c>
      <x:c r="J278" t="str">
        <x:v>Veo 3.1</x:v>
      </x:c>
      <x:c r="K278" t="str">
        <x:v>Sequential Context</x:v>
      </x:c>
      <x:c r="L278" t="str">
        <x:v>Provides previous and next step for continuity without asking for them to appear.</x:v>
      </x:c>
      <x:c r="M278" t="str">
        <x:v>Close-up realistic instructional DIY video: spread a thin line of wood glue along a joint. Show glue bottle working on board edge joint. Hands visible, stable camera, no text overlay, neutral shop lighting. This is the middle clip in a sequence. Previous step has already prepared the work area; next step will verify the result. Keep the same workpiece, camera distance, and hand orientation.</x:v>
      </x:c>
      <x:c r="N278" s="14" t="n">
        <x:v>8</x:v>
      </x:c>
      <x:c r="O278" s="14" t="n">
        <x:v>100470</x:v>
      </x:c>
      <x:c r="P278" t="str">
        <x:v>R-E</x:v>
      </x:c>
      <x:c r="Q278" s="12" t="n">
        <x:v>4.46</x:v>
      </x:c>
      <x:c r="R278" s="12" t="n">
        <x:v>4.36</x:v>
      </x:c>
      <x:c r="S278" s="12" t="n">
        <x:v>4.31</x:v>
      </x:c>
      <x:c r="T278" s="12" t="n">
        <x:v>4.36</x:v>
      </x:c>
      <x:c r="U278" s="12" t="n">
        <x:v>3.97</x:v>
      </x:c>
      <x:c r="V278" s="12" t="n">
        <x:v>4.17</x:v>
      </x:c>
      <x:c r="W278" s="12" t="n">
        <x:f>ROUND((Q278*0.24)+(R278*0.22)+(S278*0.16)+(T278*0.18)+(U278*0.10)+(V278*0.10),2)</x:f>
        <x:v>4.32</x:v>
      </x:c>
      <x:c r="X278" t="str">
        <x:f>IF(W278&gt;=3.55,"Pass","Fail")</x:f>
        <x:v>Pass</x:v>
      </x:c>
      <x:c r="Y278" t="str">
        <x:v>none</x:v>
      </x:c>
      <x:c r="Z278" t="str">
        <x:v>QA note: Clear enough for a learner. The workpiece does not wander and the camera stays on the board edge joint; I would still add a freeze or caption after generation. The clip needs a verifier pass before it can enter the training pool. Continuity is useful here, but it cannot replace showing the actual contact point.</x:v>
      </x:c>
      <x:c r="AA278" t="str">
        <x:v>No immediate re-run; keep as candidate and verify with a second rater.</x:v>
      </x:c>
      <x:c r="AB278" t="str">
        <x:v>Medium-High</x:v>
      </x:c>
      <x:c r="AC278" t="str"/>
      <x:c r="AD278" t="str">
        <x:v>Synthetic benchmark entry; generated clip URL should be filled after API run.</x:v>
      </x:c>
    </x:row>
    <x:row r="279">
      <x:c r="A279" t="str">
        <x:v>S047-Sora-SEQ</x:v>
      </x:c>
      <x:c r="B279" t="str">
        <x:v>S047</x:v>
      </x:c>
      <x:c r="C279" t="str">
        <x:v>Woodworking</x:v>
      </x:c>
      <x:c r="D279" t="str">
        <x:v>gluing</x:v>
      </x:c>
      <x:c r="E279" t="str">
        <x:v>spreading</x:v>
      </x:c>
      <x:c r="F279" t="n">
        <x:v>2</x:v>
      </x:c>
      <x:c r="G279" t="str">
        <x:v>spread a thin line of wood glue along a joint</x:v>
      </x:c>
      <x:c r="H279" t="str">
        <x:v>glue bottle</x:v>
      </x:c>
      <x:c r="I279" t="str">
        <x:v>board edge joint</x:v>
      </x:c>
      <x:c r="J279" t="str">
        <x:v>Sora 2 Pro</x:v>
      </x:c>
      <x:c r="K279" t="str">
        <x:v>Sequential Context</x:v>
      </x:c>
      <x:c r="L279" t="str">
        <x:v>Provides previous and next step for continuity without asking for them to appear.</x:v>
      </x:c>
      <x:c r="M279" t="str">
        <x:v>Close-up realistic instructional DIY video: spread a thin line of wood glue along a joint. Show glue bottle working on board edge joint. Hands visible, stable camera, no text overlay, neutral shop lighting. This is the middle clip in a sequence. Previous step has already prepared the work area; next step will verify the result. Keep the same workpiece, camera distance, and hand orientation.</x:v>
      </x:c>
      <x:c r="N279" s="14" t="n">
        <x:v>8</x:v>
      </x:c>
      <x:c r="O279" s="14" t="n">
        <x:v>100471</x:v>
      </x:c>
      <x:c r="P279" t="str">
        <x:v>R-A</x:v>
      </x:c>
      <x:c r="Q279" s="12" t="n">
        <x:v>3.83</x:v>
      </x:c>
      <x:c r="R279" s="12" t="n">
        <x:v>4.54</x:v>
      </x:c>
      <x:c r="S279" s="12" t="n">
        <x:v>4.36</x:v>
      </x:c>
      <x:c r="T279" s="12" t="n">
        <x:v>4.87</x:v>
      </x:c>
      <x:c r="U279" s="12" t="n">
        <x:v>4</x:v>
      </x:c>
      <x:c r="V279" s="12" t="n">
        <x:v>4.44</x:v>
      </x:c>
      <x:c r="W279" s="12" t="n">
        <x:f>ROUND((Q279*0.24)+(R279*0.22)+(S279*0.16)+(T279*0.18)+(U279*0.10)+(V279*0.10),2)</x:f>
        <x:v>4.34</x:v>
      </x:c>
      <x:c r="X279" t="str">
        <x:f>IF(W279&gt;=3.55,"Pass","Fail")</x:f>
        <x:v>Pass</x:v>
      </x:c>
      <x:c r="Y279" t="str">
        <x:v>minor continuity jump</x:v>
      </x:c>
      <x:c r="Z279" t="str">
        <x:v>Rater note: Good continuity from frame to frame. The glue bottle makes visual contact with the workpiece and the motion does not feel invented. I marked it down for the key moment rather than the opening setup. Continuity is useful here, but it cannot replace showing the actual contact point.</x:v>
      </x:c>
      <x:c r="AA279" t="str">
        <x:v>Move safety language earlier in the prompt and remove cinematic camera instructions.</x:v>
      </x:c>
      <x:c r="AB279" t="str">
        <x:v>Medium-High</x:v>
      </x:c>
      <x:c r="AC279" t="str"/>
      <x:c r="AD279" t="str">
        <x:v>Planning dataset only; scores are plausible placeholders, not vendor claims.</x:v>
      </x:c>
    </x:row>
    <x:row r="280">
      <x:c r="A280" t="str">
        <x:v>S047-Runway-SEQ</x:v>
      </x:c>
      <x:c r="B280" t="str">
        <x:v>S047</x:v>
      </x:c>
      <x:c r="C280" t="str">
        <x:v>Woodworking</x:v>
      </x:c>
      <x:c r="D280" t="str">
        <x:v>gluing</x:v>
      </x:c>
      <x:c r="E280" t="str">
        <x:v>spreading</x:v>
      </x:c>
      <x:c r="F280" t="n">
        <x:v>2</x:v>
      </x:c>
      <x:c r="G280" t="str">
        <x:v>spread a thin line of wood glue along a joint</x:v>
      </x:c>
      <x:c r="H280" t="str">
        <x:v>glue bottle</x:v>
      </x:c>
      <x:c r="I280" t="str">
        <x:v>board edge joint</x:v>
      </x:c>
      <x:c r="J280" t="str">
        <x:v>Runway Gen-4.5</x:v>
      </x:c>
      <x:c r="K280" t="str">
        <x:v>Sequential Context</x:v>
      </x:c>
      <x:c r="L280" t="str">
        <x:v>Provides previous and next step for continuity without asking for them to appear.</x:v>
      </x:c>
      <x:c r="M280" t="str">
        <x:v>Close-up realistic instructional DIY video: spread a thin line of wood glue along a joint. Show glue bottle working on board edge joint. Hands visible, stable camera, no text overlay, neutral shop lighting. This is the middle clip in a sequence. Previous step has already prepared the work area; next step will verify the result. Keep the same workpiece, camera distance, and hand orientation.</x:v>
      </x:c>
      <x:c r="N280" s="14" t="n">
        <x:v>5</x:v>
      </x:c>
      <x:c r="O280" s="14" t="n">
        <x:v>100472</x:v>
      </x:c>
      <x:c r="P280" t="str">
        <x:v>R-E</x:v>
      </x:c>
      <x:c r="Q280" s="12" t="n">
        <x:v>4.02</x:v>
      </x:c>
      <x:c r="R280" s="12" t="n">
        <x:v>3.94</x:v>
      </x:c>
      <x:c r="S280" s="12" t="n">
        <x:v>3.81</x:v>
      </x:c>
      <x:c r="T280" s="12" t="n">
        <x:v>3.67</x:v>
      </x:c>
      <x:c r="U280" s="12" t="n">
        <x:v>4.2</x:v>
      </x:c>
      <x:c r="V280" s="12" t="n">
        <x:v>4.18</x:v>
      </x:c>
      <x:c r="W280" s="12" t="n">
        <x:f>ROUND((Q280*0.24)+(R280*0.22)+(S280*0.16)+(T280*0.18)+(U280*0.10)+(V280*0.10),2)</x:f>
        <x:v>3.94</x:v>
      </x:c>
      <x:c r="X280" t="str">
        <x:f>IF(W280&gt;=3.55,"Pass","Fail")</x:f>
        <x:v>Pass</x:v>
      </x:c>
      <x:c r="Y280" t="str">
        <x:v>motion slightly compressed</x:v>
      </x:c>
      <x:c r="Z280" t="str">
        <x:v>QA note: The intention is clear, especially if you already know the step. A novice might miss the key detail because this issue appears right where the action should be most explicit: motion slightly compressed. The clip needs a verifier pass before it can enter the training pool. Continuity is useful here, but it cannot replace showing the actual contact point.</x:v>
      </x:c>
      <x:c r="AA280" t="str">
        <x:v>Use sequential context only for continuity, not for adding previous/next steps into the frame.</x:v>
      </x:c>
      <x:c r="AB280" t="str">
        <x:v>Medium-High</x:v>
      </x:c>
      <x:c r="AC280" t="str"/>
      <x:c r="AD280" t="str">
        <x:v>Synthetic benchmark entry; generated clip URL should be filled after API run.</x:v>
      </x:c>
    </x:row>
    <x:row r="281">
      <x:c r="A281" t="str">
        <x:v>S047-Kling-SEQ</x:v>
      </x:c>
      <x:c r="B281" t="str">
        <x:v>S047</x:v>
      </x:c>
      <x:c r="C281" t="str">
        <x:v>Woodworking</x:v>
      </x:c>
      <x:c r="D281" t="str">
        <x:v>gluing</x:v>
      </x:c>
      <x:c r="E281" t="str">
        <x:v>spreading</x:v>
      </x:c>
      <x:c r="F281" t="n">
        <x:v>2</x:v>
      </x:c>
      <x:c r="G281" t="str">
        <x:v>spread a thin line of wood glue along a joint</x:v>
      </x:c>
      <x:c r="H281" t="str">
        <x:v>glue bottle</x:v>
      </x:c>
      <x:c r="I281" t="str">
        <x:v>board edge joint</x:v>
      </x:c>
      <x:c r="J281" t="str">
        <x:v>Kling v3.0 (Replicate)</x:v>
      </x:c>
      <x:c r="K281" t="str">
        <x:v>Sequential Context</x:v>
      </x:c>
      <x:c r="L281" t="str">
        <x:v>Provides previous and next step for continuity without asking for them to appear.</x:v>
      </x:c>
      <x:c r="M281" t="str">
        <x:v>Close-up realistic instructional DIY video: spread a thin line of wood glue along a joint. Show glue bottle working on board edge joint. Hands visible, stable camera, no text overlay, neutral shop lighting. This is the middle clip in a sequence. Previous step has already prepared the work area; next step will verify the result. Keep the same workpiece, camera distance, and hand orientation.</x:v>
      </x:c>
      <x:c r="N281" s="14" t="n">
        <x:v>10</x:v>
      </x:c>
      <x:c r="O281" s="14" t="n">
        <x:v>100473</x:v>
      </x:c>
      <x:c r="P281" t="str">
        <x:v>R-C</x:v>
      </x:c>
      <x:c r="Q281" s="12" t="n">
        <x:v>3.95</x:v>
      </x:c>
      <x:c r="R281" s="12" t="n">
        <x:v>4.03</x:v>
      </x:c>
      <x:c r="S281" s="12" t="n">
        <x:v>3.97</x:v>
      </x:c>
      <x:c r="T281" s="12" t="n">
        <x:v>3.98</x:v>
      </x:c>
      <x:c r="U281" s="12" t="n">
        <x:v>3.81</x:v>
      </x:c>
      <x:c r="V281" s="12" t="n">
        <x:v>3.93</x:v>
      </x:c>
      <x:c r="W281" s="12" t="n">
        <x:f>ROUND((Q281*0.24)+(R281*0.22)+(S281*0.16)+(T281*0.18)+(U281*0.10)+(V281*0.10),2)</x:f>
        <x:v>3.96</x:v>
      </x:c>
      <x:c r="X281" t="str">
        <x:f>IF(W281&gt;=3.55,"Pass","Fail")</x:f>
        <x:v>Pass</x:v>
      </x:c>
      <x:c r="Y281" t="str">
        <x:v>minor continuity jump</x:v>
      </x:c>
      <x:c r="Z281" t="str">
        <x:v>Review note: Looks plausible at first glance. On a second pass, the board edge joint shifts slightly and the model seems to infer the outcome rather than show the full spreading. I would keep the same camera angle but ask for a tighter view of the contact point. Continuity is useful here, but it cannot replace showing the actual contact point.</x:v>
      </x:c>
      <x:c r="AA281" t="str">
        <x:v>Specify the exact contact point and do not allow the hand to cover it.</x:v>
      </x:c>
      <x:c r="AB281" t="str">
        <x:v>Medium-High</x:v>
      </x:c>
      <x:c r="AC281" t="str"/>
      <x:c r="AD281" t="str">
        <x:v>Mock rater record for experiment design; audit against real video outputs before publication.</x:v>
      </x:c>
    </x:row>
    <x:row r="282">
      <x:c r="A282" t="str">
        <x:v>S047-Pika-SEQ</x:v>
      </x:c>
      <x:c r="B282" t="str">
        <x:v>S047</x:v>
      </x:c>
      <x:c r="C282" t="str">
        <x:v>Woodworking</x:v>
      </x:c>
      <x:c r="D282" t="str">
        <x:v>gluing</x:v>
      </x:c>
      <x:c r="E282" t="str">
        <x:v>spreading</x:v>
      </x:c>
      <x:c r="F282" t="n">
        <x:v>2</x:v>
      </x:c>
      <x:c r="G282" t="str">
        <x:v>spread a thin line of wood glue along a joint</x:v>
      </x:c>
      <x:c r="H282" t="str">
        <x:v>glue bottle</x:v>
      </x:c>
      <x:c r="I282" t="str">
        <x:v>board edge joint</x:v>
      </x:c>
      <x:c r="J282" t="str">
        <x:v>Pika 2.2</x:v>
      </x:c>
      <x:c r="K282" t="str">
        <x:v>Sequential Context</x:v>
      </x:c>
      <x:c r="L282" t="str">
        <x:v>Provides previous and next step for continuity without asking for them to appear.</x:v>
      </x:c>
      <x:c r="M282" t="str">
        <x:v>Close-up realistic instructional DIY video: spread a thin line of wood glue along a joint. Show glue bottle working on board edge joint. Hands visible, stable camera, no text overlay, neutral shop lighting. This is the middle clip in a sequence. Previous step has already prepared the work area; next step will verify the result. Keep the same workpiece, camera distance, and hand orientation.</x:v>
      </x:c>
      <x:c r="N282" s="14" t="n">
        <x:v>5</x:v>
      </x:c>
      <x:c r="O282" s="14" t="n">
        <x:v>100474</x:v>
      </x:c>
      <x:c r="P282" t="str">
        <x:v>R-A</x:v>
      </x:c>
      <x:c r="Q282" s="12" t="n">
        <x:v>3.78</x:v>
      </x:c>
      <x:c r="R282" s="12" t="n">
        <x:v>3.76</x:v>
      </x:c>
      <x:c r="S282" s="12" t="n">
        <x:v>3.56</x:v>
      </x:c>
      <x:c r="T282" s="12" t="n">
        <x:v>3.97</x:v>
      </x:c>
      <x:c r="U282" s="12" t="n">
        <x:v>3.33</x:v>
      </x:c>
      <x:c r="V282" s="12" t="n">
        <x:v>3.87</x:v>
      </x:c>
      <x:c r="W282" s="12" t="n">
        <x:f>ROUND((Q282*0.24)+(R282*0.22)+(S282*0.16)+(T282*0.18)+(U282*0.10)+(V282*0.10),2)</x:f>
        <x:v>3.74</x:v>
      </x:c>
      <x:c r="X282" t="str">
        <x:f>IF(W282&gt;=3.55,"Pass","Fail")</x:f>
        <x:v>Pass</x:v>
      </x:c>
      <x:c r="Y282" t="str">
        <x:v>wrong grip on tool</x:v>
      </x:c>
      <x:c r="Z282" t="str">
        <x:v>Rater note: Usable, but I would not show it without review. The glue bottle is recognizable, yet the exact contact point is hard to see when the hand crosses the frame. This reads better as a teaser than as an instructional clip. Continuity is useful here, but it cannot replace showing the actual contact point.</x:v>
      </x:c>
      <x:c r="AA282" t="str">
        <x:v>Add a one-sentence end-state requirement: viewer must see the completed spreading result for one full second.</x:v>
      </x:c>
      <x:c r="AB282" t="str">
        <x:v>Medium-High</x:v>
      </x:c>
      <x:c r="AC282" t="str"/>
      <x:c r="AD282" t="str">
        <x:v>Synthetic benchmark entry; generated clip URL should be filled after API run.</x:v>
      </x:c>
    </x:row>
    <x:row r="283">
      <x:c r="A283" t="str">
        <x:v>S047-Vidu-SEQ</x:v>
      </x:c>
      <x:c r="B283" t="str">
        <x:v>S047</x:v>
      </x:c>
      <x:c r="C283" t="str">
        <x:v>Woodworking</x:v>
      </x:c>
      <x:c r="D283" t="str">
        <x:v>gluing</x:v>
      </x:c>
      <x:c r="E283" t="str">
        <x:v>spreading</x:v>
      </x:c>
      <x:c r="F283" t="n">
        <x:v>2</x:v>
      </x:c>
      <x:c r="G283" t="str">
        <x:v>spread a thin line of wood glue along a joint</x:v>
      </x:c>
      <x:c r="H283" t="str">
        <x:v>glue bottle</x:v>
      </x:c>
      <x:c r="I283" t="str">
        <x:v>board edge joint</x:v>
      </x:c>
      <x:c r="J283" t="str">
        <x:v>Vidu 2.0</x:v>
      </x:c>
      <x:c r="K283" t="str">
        <x:v>Sequential Context</x:v>
      </x:c>
      <x:c r="L283" t="str">
        <x:v>Provides previous and next step for continuity without asking for them to appear.</x:v>
      </x:c>
      <x:c r="M283" t="str">
        <x:v>Close-up realistic instructional DIY video: spread a thin line of wood glue along a joint. Show glue bottle working on board edge joint. Hands visible, stable camera, no text overlay, neutral shop lighting. This is the middle clip in a sequence. Previous step has already prepared the work area; next step will verify the result. Keep the same workpiece, camera distance, and hand orientation.</x:v>
      </x:c>
      <x:c r="N283" s="14" t="n">
        <x:v>5</x:v>
      </x:c>
      <x:c r="O283" s="14" t="n">
        <x:v>100475</x:v>
      </x:c>
      <x:c r="P283" t="str">
        <x:v>R-A</x:v>
      </x:c>
      <x:c r="Q283" s="12" t="n">
        <x:v>2.67</x:v>
      </x:c>
      <x:c r="R283" s="12" t="n">
        <x:v>3.43</x:v>
      </x:c>
      <x:c r="S283" s="12" t="n">
        <x:v>3.34</x:v>
      </x:c>
      <x:c r="T283" s="12" t="n">
        <x:v>3.51</x:v>
      </x:c>
      <x:c r="U283" s="12" t="n">
        <x:v>3.44</x:v>
      </x:c>
      <x:c r="V283" s="12" t="n">
        <x:v>3.73</x:v>
      </x:c>
      <x:c r="W283" s="12" t="n">
        <x:f>ROUND((Q283*0.24)+(R283*0.22)+(S283*0.16)+(T283*0.18)+(U283*0.10)+(V283*0.10),2)</x:f>
        <x:v>3.28</x:v>
      </x:c>
      <x:c r="X283" t="str">
        <x:f>IF(W283&gt;=3.55,"Pass","Fail")</x:f>
        <x:v>Fail</x:v>
      </x:c>
      <x:c r="Y283" t="str">
        <x:v>camera blocks work</x:v>
      </x:c>
      <x:c r="Z283" t="str">
        <x:v>Rater note: Too much is being implied. The glue bottle and board edge joint are in the scene, but the motion does not demonstrate the actual repair step. I would keep the same camera angle but ask for a tighter view of the contact point. Continuity is useful here, but it cannot replace showing the actual contact point.</x:v>
      </x:c>
      <x:c r="AA283" t="str">
        <x:v>Use sequential context only for continuity, not for adding previous/next steps into the frame.</x:v>
      </x:c>
      <x:c r="AB283" t="str">
        <x:v>Medium</x:v>
      </x:c>
      <x:c r="AC283" t="str"/>
      <x:c r="AD283" t="str">
        <x:v>Mock rater record for experiment design; audit against real video outputs before publication.</x:v>
      </x:c>
    </x:row>
    <x:row r="284">
      <x:c r="A284" t="str">
        <x:v>S048-Veo-CON</x:v>
      </x:c>
      <x:c r="B284" t="str">
        <x:v>S048</x:v>
      </x:c>
      <x:c r="C284" t="str">
        <x:v>Woodworking</x:v>
      </x:c>
      <x:c r="D284" t="str">
        <x:v>layout</x:v>
      </x:c>
      <x:c r="E284" t="str">
        <x:v>squaring</x:v>
      </x:c>
      <x:c r="F284" t="n">
        <x:v>3</x:v>
      </x:c>
      <x:c r="G284" t="str">
        <x:v>draw a square line across a board with a speed square</x:v>
      </x:c>
      <x:c r="H284" t="str">
        <x:v>speed square, pencil</x:v>
      </x:c>
      <x:c r="I284" t="str">
        <x:v>wood board</x:v>
      </x:c>
      <x:c r="J284" t="str">
        <x:v>Veo 3.1</x:v>
      </x:c>
      <x:c r="K284" t="str">
        <x:v>Constraint-Rich Negative Prompt</x:v>
      </x:c>
      <x:c r="L284" t="str">
        <x:v>Adds concise no-floating-tools/no-extra-objects/no-morphing constraints.</x:v>
      </x:c>
      <x:c r="M284" t="str">
        <x:v>Close-up realistic instructional DIY video: draw a square line across a board with a speed square. Show speed square, pencil working on wood board. Hands visible, stable camera, no text overlay, neutral shop lighting. Constraints: no floating tools, no extra tools, no morphing hands, no reversed motion, no impossible deformation, no dramatic camera spin. Keep the full action legible.</x:v>
      </x:c>
      <x:c r="N284" s="14" t="n">
        <x:v>8</x:v>
      </x:c>
      <x:c r="O284" s="14" t="n">
        <x:v>100480</x:v>
      </x:c>
      <x:c r="P284" t="str">
        <x:v>R-A</x:v>
      </x:c>
      <x:c r="Q284" s="12" t="n">
        <x:v>4.2</x:v>
      </x:c>
      <x:c r="R284" s="12" t="n">
        <x:v>4.17</x:v>
      </x:c>
      <x:c r="S284" s="12" t="n">
        <x:v>4.43</x:v>
      </x:c>
      <x:c r="T284" s="12" t="n">
        <x:v>4.61</x:v>
      </x:c>
      <x:c r="U284" s="12" t="n">
        <x:v>3.7</x:v>
      </x:c>
      <x:c r="V284" s="12" t="n">
        <x:v>3.75</x:v>
      </x:c>
      <x:c r="W284" s="12" t="n">
        <x:f>ROUND((Q284*0.24)+(R284*0.22)+(S284*0.16)+(T284*0.18)+(U284*0.10)+(V284*0.10),2)</x:f>
        <x:v>4.21</x:v>
      </x:c>
      <x:c r="X284" t="str">
        <x:f>IF(W284&gt;=3.55,"Pass","Fail")</x:f>
        <x:v>Pass</x:v>
      </x:c>
      <x:c r="Y284" t="str">
        <x:v>minor continuity jump</x:v>
      </x:c>
      <x:c r="Z284" t="str">
        <x:v>QA note: Clear enough for a learner. The workpiece does not wander and the camera stays on the wood board; I would still add a freeze or caption after generation. The tool silhouette is acceptable; the mechanics are the weak part. The negative constraints help, but they do not fully solve the mechanics.</x:v>
      </x:c>
      <x:c r="AA284" t="str">
        <x:v>Add a one-sentence end-state requirement: viewer must see the completed squaring result for one full second.</x:v>
      </x:c>
      <x:c r="AB284" t="str">
        <x:v>Medium-High</x:v>
      </x:c>
      <x:c r="AC284" t="str"/>
      <x:c r="AD284" t="str">
        <x:v>Synthetic benchmark entry; generated clip URL should be filled after API run.</x:v>
      </x:c>
    </x:row>
    <x:row r="285">
      <x:c r="A285" t="str">
        <x:v>S048-Sora-CON</x:v>
      </x:c>
      <x:c r="B285" t="str">
        <x:v>S048</x:v>
      </x:c>
      <x:c r="C285" t="str">
        <x:v>Woodworking</x:v>
      </x:c>
      <x:c r="D285" t="str">
        <x:v>layout</x:v>
      </x:c>
      <x:c r="E285" t="str">
        <x:v>squaring</x:v>
      </x:c>
      <x:c r="F285" t="n">
        <x:v>3</x:v>
      </x:c>
      <x:c r="G285" t="str">
        <x:v>draw a square line across a board with a speed square</x:v>
      </x:c>
      <x:c r="H285" t="str">
        <x:v>speed square, pencil</x:v>
      </x:c>
      <x:c r="I285" t="str">
        <x:v>wood board</x:v>
      </x:c>
      <x:c r="J285" t="str">
        <x:v>Sora 2 Pro</x:v>
      </x:c>
      <x:c r="K285" t="str">
        <x:v>Constraint-Rich Negative Prompt</x:v>
      </x:c>
      <x:c r="L285" t="str">
        <x:v>Adds concise no-floating-tools/no-extra-objects/no-morphing constraints.</x:v>
      </x:c>
      <x:c r="M285" t="str">
        <x:v>Close-up realistic instructional DIY video: draw a square line across a board with a speed square. Show speed square, pencil working on wood board. Hands visible, stable camera, no text overlay, neutral shop lighting. Constraints: no floating tools, no extra tools, no morphing hands, no reversed motion, no impossible deformation, no dramatic camera spin. Keep the full action legible.</x:v>
      </x:c>
      <x:c r="N285" s="14" t="n">
        <x:v>8</x:v>
      </x:c>
      <x:c r="O285" s="14" t="n">
        <x:v>100481</x:v>
      </x:c>
      <x:c r="P285" t="str">
        <x:v>R-C</x:v>
      </x:c>
      <x:c r="Q285" s="12" t="n">
        <x:v>4.56</x:v>
      </x:c>
      <x:c r="R285" s="12" t="n">
        <x:v>4.03</x:v>
      </x:c>
      <x:c r="S285" s="12" t="n">
        <x:v>3.74</x:v>
      </x:c>
      <x:c r="T285" s="12" t="n">
        <x:v>3.91</x:v>
      </x:c>
      <x:c r="U285" s="12" t="n">
        <x:v>4.47</x:v>
      </x:c>
      <x:c r="V285" s="12" t="n">
        <x:v>4.37</x:v>
      </x:c>
      <x:c r="W285" s="12" t="n">
        <x:f>ROUND((Q285*0.24)+(R285*0.22)+(S285*0.16)+(T285*0.18)+(U285*0.10)+(V285*0.10),2)</x:f>
        <x:v>4.17</x:v>
      </x:c>
      <x:c r="X285" t="str">
        <x:f>IF(W285&gt;=3.55,"Pass","Fail")</x:f>
        <x:v>Pass</x:v>
      </x:c>
      <x:c r="Y285" t="str">
        <x:v>endpoint not visible</x:v>
      </x:c>
      <x:c r="Z285" t="str">
        <x:v>Human check: Good continuity from frame to frame. The speed square, pencil makes visual contact with the workpiece and the motion does not feel invented. The clip needs a verifier pass before it can enter the training pool. The negative constraints help, but they do not fully solve the mechanics.</x:v>
      </x:c>
      <x:c r="AA285" t="str">
        <x:v>Add a one-sentence end-state requirement: viewer must see the completed squaring result for one full second.</x:v>
      </x:c>
      <x:c r="AB285" t="str">
        <x:v>Medium</x:v>
      </x:c>
      <x:c r="AC285" t="str"/>
      <x:c r="AD285" t="str">
        <x:v>Synthetic benchmark entry; generated clip URL should be filled after API run.</x:v>
      </x:c>
    </x:row>
    <x:row r="286">
      <x:c r="A286" t="str">
        <x:v>S048-Runway-CON</x:v>
      </x:c>
      <x:c r="B286" t="str">
        <x:v>S048</x:v>
      </x:c>
      <x:c r="C286" t="str">
        <x:v>Woodworking</x:v>
      </x:c>
      <x:c r="D286" t="str">
        <x:v>layout</x:v>
      </x:c>
      <x:c r="E286" t="str">
        <x:v>squaring</x:v>
      </x:c>
      <x:c r="F286" t="n">
        <x:v>3</x:v>
      </x:c>
      <x:c r="G286" t="str">
        <x:v>draw a square line across a board with a speed square</x:v>
      </x:c>
      <x:c r="H286" t="str">
        <x:v>speed square, pencil</x:v>
      </x:c>
      <x:c r="I286" t="str">
        <x:v>wood board</x:v>
      </x:c>
      <x:c r="J286" t="str">
        <x:v>Runway Gen-4.5</x:v>
      </x:c>
      <x:c r="K286" t="str">
        <x:v>Constraint-Rich Negative Prompt</x:v>
      </x:c>
      <x:c r="L286" t="str">
        <x:v>Adds concise no-floating-tools/no-extra-objects/no-morphing constraints.</x:v>
      </x:c>
      <x:c r="M286" t="str">
        <x:v>Close-up realistic instructional DIY video: draw a square line across a board with a speed square. Show speed square, pencil working on wood board. Hands visible, stable camera, no text overlay, neutral shop lighting. Constraints: no floating tools, no extra tools, no morphing hands, no reversed motion, no impossible deformation, no dramatic camera spin. Keep the full action legible.</x:v>
      </x:c>
      <x:c r="N286" s="14" t="n">
        <x:v>5</x:v>
      </x:c>
      <x:c r="O286" s="14" t="n">
        <x:v>100482</x:v>
      </x:c>
      <x:c r="P286" t="str">
        <x:v>R-D</x:v>
      </x:c>
      <x:c r="Q286" s="12" t="n">
        <x:v>3.75</x:v>
      </x:c>
      <x:c r="R286" s="12" t="n">
        <x:v>4.23</x:v>
      </x:c>
      <x:c r="S286" s="12" t="n">
        <x:v>4.24</x:v>
      </x:c>
      <x:c r="T286" s="12" t="n">
        <x:v>3.16</x:v>
      </x:c>
      <x:c r="U286" s="12" t="n">
        <x:v>4.02</x:v>
      </x:c>
      <x:c r="V286" s="12" t="n">
        <x:v>4.17</x:v>
      </x:c>
      <x:c r="W286" s="12" t="n">
        <x:f>ROUND((Q286*0.24)+(R286*0.22)+(S286*0.16)+(T286*0.18)+(U286*0.10)+(V286*0.10),2)</x:f>
        <x:v>3.9</x:v>
      </x:c>
      <x:c r="X286" t="str">
        <x:f>IF(W286&gt;=3.55,"Pass","Fail")</x:f>
        <x:v>Pass</x:v>
      </x:c>
      <x:c r="Y286" t="str">
        <x:v>minor continuity jump</x:v>
      </x:c>
      <x:c r="Z286" t="str">
        <x:v>Rater note: Usable, but I would not show it without review. The speed square, pencil is recognizable, yet the exact contact point is hard to see when the hand crosses the frame. I would keep the same camera angle but ask for a tighter view of the contact point. The negative constraints help, but they do not fully solve the mechanics.</x:v>
      </x:c>
      <x:c r="AA286" t="str">
        <x:v>Ask for a static close-up and require the speed square, pencil to touch the wood board before any motion starts.</x:v>
      </x:c>
      <x:c r="AB286" t="str">
        <x:v>High</x:v>
      </x:c>
      <x:c r="AC286" t="str"/>
      <x:c r="AD286" t="str">
        <x:v>Synthetic benchmark entry; generated clip URL should be filled after API run.</x:v>
      </x:c>
    </x:row>
    <x:row r="287">
      <x:c r="A287" t="str">
        <x:v>S048-Kling-CON</x:v>
      </x:c>
      <x:c r="B287" t="str">
        <x:v>S048</x:v>
      </x:c>
      <x:c r="C287" t="str">
        <x:v>Woodworking</x:v>
      </x:c>
      <x:c r="D287" t="str">
        <x:v>layout</x:v>
      </x:c>
      <x:c r="E287" t="str">
        <x:v>squaring</x:v>
      </x:c>
      <x:c r="F287" t="n">
        <x:v>3</x:v>
      </x:c>
      <x:c r="G287" t="str">
        <x:v>draw a square line across a board with a speed square</x:v>
      </x:c>
      <x:c r="H287" t="str">
        <x:v>speed square, pencil</x:v>
      </x:c>
      <x:c r="I287" t="str">
        <x:v>wood board</x:v>
      </x:c>
      <x:c r="J287" t="str">
        <x:v>Kling v3.0 (Replicate)</x:v>
      </x:c>
      <x:c r="K287" t="str">
        <x:v>Constraint-Rich Negative Prompt</x:v>
      </x:c>
      <x:c r="L287" t="str">
        <x:v>Adds concise no-floating-tools/no-extra-objects/no-morphing constraints.</x:v>
      </x:c>
      <x:c r="M287" t="str">
        <x:v>Close-up realistic instructional DIY video: draw a square line across a board with a speed square. Show speed square, pencil working on wood board. Hands visible, stable camera, no text overlay, neutral shop lighting. Constraints: no floating tools, no extra tools, no morphing hands, no reversed motion, no impossible deformation, no dramatic camera spin. Keep the full action legible.</x:v>
      </x:c>
      <x:c r="N287" s="14" t="n">
        <x:v>10</x:v>
      </x:c>
      <x:c r="O287" s="14" t="n">
        <x:v>100483</x:v>
      </x:c>
      <x:c r="P287" t="str">
        <x:v>R-C</x:v>
      </x:c>
      <x:c r="Q287" s="12" t="n">
        <x:v>4.01</x:v>
      </x:c>
      <x:c r="R287" s="12" t="n">
        <x:v>4.39</x:v>
      </x:c>
      <x:c r="S287" s="12" t="n">
        <x:v>4.05</x:v>
      </x:c>
      <x:c r="T287" s="12" t="n">
        <x:v>3.19</x:v>
      </x:c>
      <x:c r="U287" s="12" t="n">
        <x:v>3.7</x:v>
      </x:c>
      <x:c r="V287" s="12" t="n">
        <x:v>4.04</x:v>
      </x:c>
      <x:c r="W287" s="12" t="n">
        <x:f>ROUND((Q287*0.24)+(R287*0.22)+(S287*0.16)+(T287*0.18)+(U287*0.10)+(V287*0.10),2)</x:f>
        <x:v>3.92</x:v>
      </x:c>
      <x:c r="X287" t="str">
        <x:f>IF(W287&gt;=3.55,"Pass","Fail")</x:f>
        <x:v>Pass</x:v>
      </x:c>
      <x:c r="Y287" t="str">
        <x:v>motion slightly compressed</x:v>
      </x:c>
      <x:c r="Z287" t="str">
        <x:v>Review note: The clip has the right ingredients but not quite the right mechanics. It needs a tighter prompt about grip, contact, and the end position. The clip needs a verifier pass before it can enter the training pool. The negative constraints help, but they do not fully solve the mechanics.</x:v>
      </x:c>
      <x:c r="AA287" t="str">
        <x:v>Specify the exact contact point and do not allow the hand to cover it.</x:v>
      </x:c>
      <x:c r="AB287" t="str">
        <x:v>Medium-High</x:v>
      </x:c>
      <x:c r="AC287" t="str"/>
      <x:c r="AD287" t="str">
        <x:v>Planning dataset only; scores are plausible placeholders, not vendor claims.</x:v>
      </x:c>
    </x:row>
    <x:row r="288">
      <x:c r="A288" t="str">
        <x:v>S048-Pika-CON</x:v>
      </x:c>
      <x:c r="B288" t="str">
        <x:v>S048</x:v>
      </x:c>
      <x:c r="C288" t="str">
        <x:v>Woodworking</x:v>
      </x:c>
      <x:c r="D288" t="str">
        <x:v>layout</x:v>
      </x:c>
      <x:c r="E288" t="str">
        <x:v>squaring</x:v>
      </x:c>
      <x:c r="F288" t="n">
        <x:v>3</x:v>
      </x:c>
      <x:c r="G288" t="str">
        <x:v>draw a square line across a board with a speed square</x:v>
      </x:c>
      <x:c r="H288" t="str">
        <x:v>speed square, pencil</x:v>
      </x:c>
      <x:c r="I288" t="str">
        <x:v>wood board</x:v>
      </x:c>
      <x:c r="J288" t="str">
        <x:v>Pika 2.2</x:v>
      </x:c>
      <x:c r="K288" t="str">
        <x:v>Constraint-Rich Negative Prompt</x:v>
      </x:c>
      <x:c r="L288" t="str">
        <x:v>Adds concise no-floating-tools/no-extra-objects/no-morphing constraints.</x:v>
      </x:c>
      <x:c r="M288" t="str">
        <x:v>Close-up realistic instructional DIY video: draw a square line across a board with a speed square. Show speed square, pencil working on wood board. Hands visible, stable camera, no text overlay, neutral shop lighting. Constraints: no floating tools, no extra tools, no morphing hands, no reversed motion, no impossible deformation, no dramatic camera spin. Keep the full action legible.</x:v>
      </x:c>
      <x:c r="N288" s="14" t="n">
        <x:v>5</x:v>
      </x:c>
      <x:c r="O288" s="14" t="n">
        <x:v>100484</x:v>
      </x:c>
      <x:c r="P288" t="str">
        <x:v>R-A</x:v>
      </x:c>
      <x:c r="Q288" s="12" t="n">
        <x:v>3.75</x:v>
      </x:c>
      <x:c r="R288" s="12" t="n">
        <x:v>3.56</x:v>
      </x:c>
      <x:c r="S288" s="12" t="n">
        <x:v>3.6</x:v>
      </x:c>
      <x:c r="T288" s="12" t="n">
        <x:v>3.52</x:v>
      </x:c>
      <x:c r="U288" s="12" t="n">
        <x:v>3.71</x:v>
      </x:c>
      <x:c r="V288" s="12" t="n">
        <x:v>3.69</x:v>
      </x:c>
      <x:c r="W288" s="12" t="n">
        <x:f>ROUND((Q288*0.24)+(R288*0.22)+(S288*0.16)+(T288*0.18)+(U288*0.10)+(V288*0.10),2)</x:f>
        <x:v>3.63</x:v>
      </x:c>
      <x:c r="X288" t="str">
        <x:f>IF(W288&gt;=3.55,"Pass","Fail")</x:f>
        <x:v>Pass</x:v>
      </x:c>
      <x:c r="Y288" t="str">
        <x:v>object morphs</x:v>
      </x:c>
      <x:c r="Z288" t="str">
        <x:v>Rater note: The clip has the right ingredients but not quite the right mechanics. It needs a tighter prompt about grip, contact, and the end position. This would be safer as a reference-aided run than a text-only run. The negative constraints help, but they do not fully solve the mechanics.</x:v>
      </x:c>
      <x:c r="AA288" t="str">
        <x:v>Use a reference image for the speed square, pencil and specify its grip/orientation in plain language.</x:v>
      </x:c>
      <x:c r="AB288" t="str">
        <x:v>Medium</x:v>
      </x:c>
      <x:c r="AC288" t="str"/>
      <x:c r="AD288" t="str">
        <x:v>Simulated pilot row for planning; replace with blinded ratings after generating actual clips.</x:v>
      </x:c>
    </x:row>
    <x:row r="289">
      <x:c r="A289" t="str">
        <x:v>S048-Vidu-CON</x:v>
      </x:c>
      <x:c r="B289" t="str">
        <x:v>S048</x:v>
      </x:c>
      <x:c r="C289" t="str">
        <x:v>Woodworking</x:v>
      </x:c>
      <x:c r="D289" t="str">
        <x:v>layout</x:v>
      </x:c>
      <x:c r="E289" t="str">
        <x:v>squaring</x:v>
      </x:c>
      <x:c r="F289" t="n">
        <x:v>3</x:v>
      </x:c>
      <x:c r="G289" t="str">
        <x:v>draw a square line across a board with a speed square</x:v>
      </x:c>
      <x:c r="H289" t="str">
        <x:v>speed square, pencil</x:v>
      </x:c>
      <x:c r="I289" t="str">
        <x:v>wood board</x:v>
      </x:c>
      <x:c r="J289" t="str">
        <x:v>Vidu 2.0</x:v>
      </x:c>
      <x:c r="K289" t="str">
        <x:v>Constraint-Rich Negative Prompt</x:v>
      </x:c>
      <x:c r="L289" t="str">
        <x:v>Adds concise no-floating-tools/no-extra-objects/no-morphing constraints.</x:v>
      </x:c>
      <x:c r="M289" t="str">
        <x:v>Close-up realistic instructional DIY video: draw a square line across a board with a speed square. Show speed square, pencil working on wood board. Hands visible, stable camera, no text overlay, neutral shop lighting. Constraints: no floating tools, no extra tools, no morphing hands, no reversed motion, no impossible deformation, no dramatic camera spin. Keep the full action legible.</x:v>
      </x:c>
      <x:c r="N289" s="14" t="n">
        <x:v>5</x:v>
      </x:c>
      <x:c r="O289" s="14" t="n">
        <x:v>100485</x:v>
      </x:c>
      <x:c r="P289" t="str">
        <x:v>R-D</x:v>
      </x:c>
      <x:c r="Q289" s="12" t="n">
        <x:v>3.13</x:v>
      </x:c>
      <x:c r="R289" s="12" t="n">
        <x:v>3.26</x:v>
      </x:c>
      <x:c r="S289" s="12" t="n">
        <x:v>3.49</x:v>
      </x:c>
      <x:c r="T289" s="12" t="n">
        <x:v>3.18</x:v>
      </x:c>
      <x:c r="U289" s="12" t="n">
        <x:v>3.86</x:v>
      </x:c>
      <x:c r="V289" s="12" t="n">
        <x:v>3.49</x:v>
      </x:c>
      <x:c r="W289" s="12" t="n">
        <x:f>ROUND((Q289*0.24)+(R289*0.22)+(S289*0.16)+(T289*0.18)+(U289*0.10)+(V289*0.10),2)</x:f>
        <x:v>3.33</x:v>
      </x:c>
      <x:c r="X289" t="str">
        <x:f>IF(W289&gt;=3.55,"Pass","Fail")</x:f>
        <x:v>Fail</x:v>
      </x:c>
      <x:c r="Y289" t="str">
        <x:v>force/torque reads wrong</x:v>
      </x:c>
      <x:c r="Z289" t="str">
        <x:v>QA note: This should fail the instructional bar. The model gestures toward the task, but the failure mode prevents a learner from trusting the technique: force/torque reads wrong. The mistake appears late, so a simple thumbnail review would probably miss it. The negative constraints help, but they do not fully solve the mechanics.</x:v>
      </x:c>
      <x:c r="AA289" t="str">
        <x:v>Specify the exact contact point and do not allow the hand to cover it.</x:v>
      </x:c>
      <x:c r="AB289" t="str">
        <x:v>Medium-High</x:v>
      </x:c>
      <x:c r="AC289" t="str"/>
      <x:c r="AD289" t="str">
        <x:v>Synthetic benchmark entry; generated clip URL should be filled after API run.</x:v>
      </x:c>
    </x:row>
    <x:row r="290">
      <x:c r="A290" t="str">
        <x:v>S049-Veo-DIR</x:v>
      </x:c>
      <x:c r="B290" t="str">
        <x:v>S049</x:v>
      </x:c>
      <x:c r="C290" t="str">
        <x:v>Woodworking</x:v>
      </x:c>
      <x:c r="D290" t="str">
        <x:v>routing</x:v>
      </x:c>
      <x:c r="E290" t="str">
        <x:v>routing</x:v>
      </x:c>
      <x:c r="F290" t="n">
        <x:v>5</x:v>
      </x:c>
      <x:c r="G290" t="str">
        <x:v>round over an edge using a router with a bearing bit</x:v>
      </x:c>
      <x:c r="H290" t="str">
        <x:v>trim router</x:v>
      </x:c>
      <x:c r="I290" t="str">
        <x:v>board edge, roundover bit</x:v>
      </x:c>
      <x:c r="J290" t="str">
        <x:v>Veo 3.1</x:v>
      </x:c>
      <x:c r="K290" t="str">
        <x:v>Direct Natural Language</x:v>
      </x:c>
      <x:c r="L290" t="str">
        <x:v>Baseline wording only; no explicit decomposition.</x:v>
      </x:c>
      <x:c r="M290" t="str">
        <x:v>Close-up realistic instructional DIY video: round over an edge using a router with a bearing bit. Show trim router working on board edge, roundover bit. Hands visible, stable camera, no text overlay, neutral shop lighting.</x:v>
      </x:c>
      <x:c r="N290" s="14" t="n">
        <x:v>8</x:v>
      </x:c>
      <x:c r="O290" s="14" t="n">
        <x:v>100490</x:v>
      </x:c>
      <x:c r="P290" t="str">
        <x:v>R-E</x:v>
      </x:c>
      <x:c r="Q290" s="12" t="n">
        <x:v>3.39</x:v>
      </x:c>
      <x:c r="R290" s="12" t="n">
        <x:v>3.85</x:v>
      </x:c>
      <x:c r="S290" s="12" t="n">
        <x:v>2.99</x:v>
      </x:c>
      <x:c r="T290" s="12" t="n">
        <x:v>4.26</x:v>
      </x:c>
      <x:c r="U290" s="12" t="n">
        <x:v>3.8</x:v>
      </x:c>
      <x:c r="V290" s="12" t="n">
        <x:v>3.41</x:v>
      </x:c>
      <x:c r="W290" s="12" t="n">
        <x:f>ROUND((Q290*0.24)+(R290*0.22)+(S290*0.16)+(T290*0.18)+(U290*0.10)+(V290*0.10),2)</x:f>
        <x:v>3.63</x:v>
      </x:c>
      <x:c r="X290" t="str">
        <x:f>IF(W290&gt;=3.55,"Pass","Fail")</x:f>
        <x:v>Pass</x:v>
      </x:c>
      <x:c r="Y290" t="str">
        <x:v>wrong grip on tool</x:v>
      </x:c>
      <x:c r="Z290" t="str">
        <x:v>Review note: The intention is clear, especially if you already know the step. A novice might miss the key detail because this issue appears right where the action should be most explicit: wrong grip on tool. The clip needs a verifier pass before it can enter the training pool. The baseline prompt is likely under-specifying the tool path.</x:v>
      </x:c>
      <x:c r="AA290" t="str">
        <x:v>Break the action into start, contact, movement, and finish; ban extra tools and hand morphing.</x:v>
      </x:c>
      <x:c r="AB290" t="str">
        <x:v>High</x:v>
      </x:c>
      <x:c r="AC290" t="str"/>
      <x:c r="AD290" t="str">
        <x:v>Mock rater record for experiment design; audit against real video outputs before publication.</x:v>
      </x:c>
    </x:row>
    <x:row r="291">
      <x:c r="A291" t="str">
        <x:v>S049-Sora-DIR</x:v>
      </x:c>
      <x:c r="B291" t="str">
        <x:v>S049</x:v>
      </x:c>
      <x:c r="C291" t="str">
        <x:v>Woodworking</x:v>
      </x:c>
      <x:c r="D291" t="str">
        <x:v>routing</x:v>
      </x:c>
      <x:c r="E291" t="str">
        <x:v>routing</x:v>
      </x:c>
      <x:c r="F291" t="n">
        <x:v>5</x:v>
      </x:c>
      <x:c r="G291" t="str">
        <x:v>round over an edge using a router with a bearing bit</x:v>
      </x:c>
      <x:c r="H291" t="str">
        <x:v>trim router</x:v>
      </x:c>
      <x:c r="I291" t="str">
        <x:v>board edge, roundover bit</x:v>
      </x:c>
      <x:c r="J291" t="str">
        <x:v>Sora 2 Pro</x:v>
      </x:c>
      <x:c r="K291" t="str">
        <x:v>Direct Natural Language</x:v>
      </x:c>
      <x:c r="L291" t="str">
        <x:v>Baseline wording only; no explicit decomposition.</x:v>
      </x:c>
      <x:c r="M291" t="str">
        <x:v>Close-up realistic instructional DIY video: round over an edge using a router with a bearing bit. Show trim router working on board edge, roundover bit. Hands visible, stable camera, no text overlay, neutral shop lighting.</x:v>
      </x:c>
      <x:c r="N291" s="14" t="n">
        <x:v>8</x:v>
      </x:c>
      <x:c r="O291" s="14" t="n">
        <x:v>100491</x:v>
      </x:c>
      <x:c r="P291" t="str">
        <x:v>R-B</x:v>
      </x:c>
      <x:c r="Q291" s="12" t="n">
        <x:v>3.69</x:v>
      </x:c>
      <x:c r="R291" s="12" t="n">
        <x:v>3.51</x:v>
      </x:c>
      <x:c r="S291" s="12" t="n">
        <x:v>4.05</x:v>
      </x:c>
      <x:c r="T291" s="12" t="n">
        <x:v>3.89</x:v>
      </x:c>
      <x:c r="U291" s="12" t="n">
        <x:v>3.11</x:v>
      </x:c>
      <x:c r="V291" s="12" t="n">
        <x:v>3.84</x:v>
      </x:c>
      <x:c r="W291" s="12" t="n">
        <x:f>ROUND((Q291*0.24)+(R291*0.22)+(S291*0.16)+(T291*0.18)+(U291*0.10)+(V291*0.10),2)</x:f>
        <x:v>3.7</x:v>
      </x:c>
      <x:c r="X291" t="str">
        <x:f>IF(W291&gt;=3.55,"Pass","Fail")</x:f>
        <x:v>Pass</x:v>
      </x:c>
      <x:c r="Y291" t="str">
        <x:v>thread direction unclear</x:v>
      </x:c>
      <x:c r="Z291" t="str">
        <x:v>Clip review: The clip has the right ingredients but not quite the right mechanics. It needs a tighter prompt about grip, contact, and the end position. The next prompt should slow the final second instead of adding more scene detail. The baseline prompt is likely under-specifying the tool path.</x:v>
      </x:c>
      <x:c r="AA291" t="str">
        <x:v>Add a one-sentence end-state requirement: viewer must see the completed routing result for one full second.</x:v>
      </x:c>
      <x:c r="AB291" t="str">
        <x:v>Medium-High</x:v>
      </x:c>
      <x:c r="AC291" t="str"/>
      <x:c r="AD291" t="str">
        <x:v>Planning dataset only; scores are plausible placeholders, not vendor claims.</x:v>
      </x:c>
    </x:row>
    <x:row r="292">
      <x:c r="A292" t="str">
        <x:v>S049-Runway-DIR</x:v>
      </x:c>
      <x:c r="B292" t="str">
        <x:v>S049</x:v>
      </x:c>
      <x:c r="C292" t="str">
        <x:v>Woodworking</x:v>
      </x:c>
      <x:c r="D292" t="str">
        <x:v>routing</x:v>
      </x:c>
      <x:c r="E292" t="str">
        <x:v>routing</x:v>
      </x:c>
      <x:c r="F292" t="n">
        <x:v>5</x:v>
      </x:c>
      <x:c r="G292" t="str">
        <x:v>round over an edge using a router with a bearing bit</x:v>
      </x:c>
      <x:c r="H292" t="str">
        <x:v>trim router</x:v>
      </x:c>
      <x:c r="I292" t="str">
        <x:v>board edge, roundover bit</x:v>
      </x:c>
      <x:c r="J292" t="str">
        <x:v>Runway Gen-4.5</x:v>
      </x:c>
      <x:c r="K292" t="str">
        <x:v>Direct Natural Language</x:v>
      </x:c>
      <x:c r="L292" t="str">
        <x:v>Baseline wording only; no explicit decomposition.</x:v>
      </x:c>
      <x:c r="M292" t="str">
        <x:v>Close-up realistic instructional DIY video: round over an edge using a router with a bearing bit. Show trim router working on board edge, roundover bit. Hands visible, stable camera, no text overlay, neutral shop lighting.</x:v>
      </x:c>
      <x:c r="N292" s="14" t="n">
        <x:v>5</x:v>
      </x:c>
      <x:c r="O292" s="14" t="n">
        <x:v>100492</x:v>
      </x:c>
      <x:c r="P292" t="str">
        <x:v>R-D</x:v>
      </x:c>
      <x:c r="Q292" s="12" t="n">
        <x:v>3.43</x:v>
      </x:c>
      <x:c r="R292" s="12" t="n">
        <x:v>3.34</x:v>
      </x:c>
      <x:c r="S292" s="12" t="n">
        <x:v>3.2</x:v>
      </x:c>
      <x:c r="T292" s="12" t="n">
        <x:v>3.81</x:v>
      </x:c>
      <x:c r="U292" s="12" t="n">
        <x:v>3.21</x:v>
      </x:c>
      <x:c r="V292" s="12" t="n">
        <x:v>2.87</x:v>
      </x:c>
      <x:c r="W292" s="12" t="n">
        <x:f>ROUND((Q292*0.24)+(R292*0.22)+(S292*0.16)+(T292*0.18)+(U292*0.10)+(V292*0.10),2)</x:f>
        <x:v>3.36</x:v>
      </x:c>
      <x:c r="X292" t="str">
        <x:f>IF(W292&gt;=3.55,"Pass","Fail")</x:f>
        <x:v>Fail</x:v>
      </x:c>
      <x:c r="Y292" t="str">
        <x:v>object morphs</x:v>
      </x:c>
      <x:c r="Z292" t="str">
        <x:v>Rater note: This should fail the instructional bar. The model gestures toward the task, but the failure mode prevents a learner from trusting the technique: object morphs. The most important fix is to show the before-and-after state without a cut. The baseline prompt is likely under-specifying the tool path.</x:v>
      </x:c>
      <x:c r="AA292" t="str">
        <x:v>Ask for a static close-up and require the trim router to touch the board edge, roundover bit before any motion starts.</x:v>
      </x:c>
      <x:c r="AB292" t="str">
        <x:v>High</x:v>
      </x:c>
      <x:c r="AC292" t="str"/>
      <x:c r="AD292" t="str">
        <x:v>Mock rater record for experiment design; audit against real video outputs before publication.</x:v>
      </x:c>
    </x:row>
    <x:row r="293">
      <x:c r="A293" t="str">
        <x:v>S049-Kling-DIR</x:v>
      </x:c>
      <x:c r="B293" t="str">
        <x:v>S049</x:v>
      </x:c>
      <x:c r="C293" t="str">
        <x:v>Woodworking</x:v>
      </x:c>
      <x:c r="D293" t="str">
        <x:v>routing</x:v>
      </x:c>
      <x:c r="E293" t="str">
        <x:v>routing</x:v>
      </x:c>
      <x:c r="F293" t="n">
        <x:v>5</x:v>
      </x:c>
      <x:c r="G293" t="str">
        <x:v>round over an edge using a router with a bearing bit</x:v>
      </x:c>
      <x:c r="H293" t="str">
        <x:v>trim router</x:v>
      </x:c>
      <x:c r="I293" t="str">
        <x:v>board edge, roundover bit</x:v>
      </x:c>
      <x:c r="J293" t="str">
        <x:v>Kling v3.0 (Replicate)</x:v>
      </x:c>
      <x:c r="K293" t="str">
        <x:v>Direct Natural Language</x:v>
      </x:c>
      <x:c r="L293" t="str">
        <x:v>Baseline wording only; no explicit decomposition.</x:v>
      </x:c>
      <x:c r="M293" t="str">
        <x:v>Close-up realistic instructional DIY video: round over an edge using a router with a bearing bit. Show trim router working on board edge, roundover bit. Hands visible, stable camera, no text overlay, neutral shop lighting.</x:v>
      </x:c>
      <x:c r="N293" s="14" t="n">
        <x:v>10</x:v>
      </x:c>
      <x:c r="O293" s="14" t="n">
        <x:v>100493</x:v>
      </x:c>
      <x:c r="P293" t="str">
        <x:v>R-E</x:v>
      </x:c>
      <x:c r="Q293" s="12" t="n">
        <x:v>3.68</x:v>
      </x:c>
      <x:c r="R293" s="12" t="n">
        <x:v>3.4</x:v>
      </x:c>
      <x:c r="S293" s="12" t="n">
        <x:v>3.31</x:v>
      </x:c>
      <x:c r="T293" s="12" t="n">
        <x:v>3.52</x:v>
      </x:c>
      <x:c r="U293" s="12" t="n">
        <x:v>4.2</x:v>
      </x:c>
      <x:c r="V293" s="12" t="n">
        <x:v>3.79</x:v>
      </x:c>
      <x:c r="W293" s="12" t="n">
        <x:f>ROUND((Q293*0.24)+(R293*0.22)+(S293*0.16)+(T293*0.18)+(U293*0.10)+(V293*0.10),2)</x:f>
        <x:v>3.59</x:v>
      </x:c>
      <x:c r="X293" t="str">
        <x:f>IF(W293&gt;=3.55,"Pass","Fail")</x:f>
        <x:v>Pass</x:v>
      </x:c>
      <x:c r="Y293" t="str">
        <x:v>action starts too late</x:v>
      </x:c>
      <x:c r="Z293" t="str">
        <x:v>Human check: The clip has the right ingredients but not quite the right mechanics. It needs a tighter prompt about grip, contact, and the end position. I would keep the same camera angle but ask for a tighter view of the contact point. The baseline prompt is likely under-specifying the tool path.</x:v>
      </x:c>
      <x:c r="AA293" t="str">
        <x:v>Add a one-sentence end-state requirement: viewer must see the completed routing result for one full second.</x:v>
      </x:c>
      <x:c r="AB293" t="str">
        <x:v>Medium</x:v>
      </x:c>
      <x:c r="AC293" t="str"/>
      <x:c r="AD293" t="str">
        <x:v>Mock rater record for experiment design; audit against real video outputs before publication.</x:v>
      </x:c>
    </x:row>
    <x:row r="294">
      <x:c r="A294" t="str">
        <x:v>S049-Pika-DIR</x:v>
      </x:c>
      <x:c r="B294" t="str">
        <x:v>S049</x:v>
      </x:c>
      <x:c r="C294" t="str">
        <x:v>Woodworking</x:v>
      </x:c>
      <x:c r="D294" t="str">
        <x:v>routing</x:v>
      </x:c>
      <x:c r="E294" t="str">
        <x:v>routing</x:v>
      </x:c>
      <x:c r="F294" t="n">
        <x:v>5</x:v>
      </x:c>
      <x:c r="G294" t="str">
        <x:v>round over an edge using a router with a bearing bit</x:v>
      </x:c>
      <x:c r="H294" t="str">
        <x:v>trim router</x:v>
      </x:c>
      <x:c r="I294" t="str">
        <x:v>board edge, roundover bit</x:v>
      </x:c>
      <x:c r="J294" t="str">
        <x:v>Pika 2.2</x:v>
      </x:c>
      <x:c r="K294" t="str">
        <x:v>Direct Natural Language</x:v>
      </x:c>
      <x:c r="L294" t="str">
        <x:v>Baseline wording only; no explicit decomposition.</x:v>
      </x:c>
      <x:c r="M294" t="str">
        <x:v>Close-up realistic instructional DIY video: round over an edge using a router with a bearing bit. Show trim router working on board edge, roundover bit. Hands visible, stable camera, no text overlay, neutral shop lighting.</x:v>
      </x:c>
      <x:c r="N294" s="14" t="n">
        <x:v>5</x:v>
      </x:c>
      <x:c r="O294" s="14" t="n">
        <x:v>100494</x:v>
      </x:c>
      <x:c r="P294" t="str">
        <x:v>R-D</x:v>
      </x:c>
      <x:c r="Q294" s="12" t="n">
        <x:v>3.1</x:v>
      </x:c>
      <x:c r="R294" s="12" t="n">
        <x:v>2.7</x:v>
      </x:c>
      <x:c r="S294" s="12" t="n">
        <x:v>3.24</x:v>
      </x:c>
      <x:c r="T294" s="12" t="n">
        <x:v>3.18</x:v>
      </x:c>
      <x:c r="U294" s="12" t="n">
        <x:v>2.81</x:v>
      </x:c>
      <x:c r="V294" s="12" t="n">
        <x:v>3.15</x:v>
      </x:c>
      <x:c r="W294" s="12" t="n">
        <x:f>ROUND((Q294*0.24)+(R294*0.22)+(S294*0.16)+(T294*0.18)+(U294*0.10)+(V294*0.10),2)</x:f>
        <x:v>3.02</x:v>
      </x:c>
      <x:c r="X294" t="str">
        <x:f>IF(W294&gt;=3.55,"Pass","Fail")</x:f>
        <x:v>Fail</x:v>
      </x:c>
      <x:c r="Y294" t="str">
        <x:v>sequence reversed</x:v>
      </x:c>
      <x:c r="Z294" t="str">
        <x:v>QA note: This should fail the instructional bar. The model gestures toward the task, but the failure mode prevents a learner from trusting the technique: sequence reversed. I marked it down for the key moment rather than the opening setup. The baseline prompt is likely under-specifying the tool path.</x:v>
      </x:c>
      <x:c r="AA294" t="str">
        <x:v>Use sequential context only for continuity, not for adding previous/next steps into the frame.</x:v>
      </x:c>
      <x:c r="AB294" t="str">
        <x:v>Medium</x:v>
      </x:c>
      <x:c r="AC294" t="str"/>
      <x:c r="AD294" t="str">
        <x:v>Mock rater record for experiment design; audit against real video outputs before publication.</x:v>
      </x:c>
    </x:row>
    <x:row r="295">
      <x:c r="A295" t="str">
        <x:v>S049-Vidu-DIR</x:v>
      </x:c>
      <x:c r="B295" t="str">
        <x:v>S049</x:v>
      </x:c>
      <x:c r="C295" t="str">
        <x:v>Woodworking</x:v>
      </x:c>
      <x:c r="D295" t="str">
        <x:v>routing</x:v>
      </x:c>
      <x:c r="E295" t="str">
        <x:v>routing</x:v>
      </x:c>
      <x:c r="F295" t="n">
        <x:v>5</x:v>
      </x:c>
      <x:c r="G295" t="str">
        <x:v>round over an edge using a router with a bearing bit</x:v>
      </x:c>
      <x:c r="H295" t="str">
        <x:v>trim router</x:v>
      </x:c>
      <x:c r="I295" t="str">
        <x:v>board edge, roundover bit</x:v>
      </x:c>
      <x:c r="J295" t="str">
        <x:v>Vidu 2.0</x:v>
      </x:c>
      <x:c r="K295" t="str">
        <x:v>Direct Natural Language</x:v>
      </x:c>
      <x:c r="L295" t="str">
        <x:v>Baseline wording only; no explicit decomposition.</x:v>
      </x:c>
      <x:c r="M295" t="str">
        <x:v>Close-up realistic instructional DIY video: round over an edge using a router with a bearing bit. Show trim router working on board edge, roundover bit. Hands visible, stable camera, no text overlay, neutral shop lighting.</x:v>
      </x:c>
      <x:c r="N295" s="14" t="n">
        <x:v>5</x:v>
      </x:c>
      <x:c r="O295" s="14" t="n">
        <x:v>100495</x:v>
      </x:c>
      <x:c r="P295" t="str">
        <x:v>R-D</x:v>
      </x:c>
      <x:c r="Q295" s="12" t="n">
        <x:v>2.39</x:v>
      </x:c>
      <x:c r="R295" s="12" t="n">
        <x:v>2.56</x:v>
      </x:c>
      <x:c r="S295" s="12" t="n">
        <x:v>3.19</x:v>
      </x:c>
      <x:c r="T295" s="12" t="n">
        <x:v>2.23</x:v>
      </x:c>
      <x:c r="U295" s="12" t="n">
        <x:v>2.98</x:v>
      </x:c>
      <x:c r="V295" s="12" t="n">
        <x:v>3.09</x:v>
      </x:c>
      <x:c r="W295" s="12" t="n">
        <x:f>ROUND((Q295*0.24)+(R295*0.22)+(S295*0.16)+(T295*0.18)+(U295*0.10)+(V295*0.10),2)</x:f>
        <x:v>2.66</x:v>
      </x:c>
      <x:c r="X295" t="str">
        <x:f>IF(W295&gt;=3.55,"Pass","Fail")</x:f>
        <x:v>Fail</x:v>
      </x:c>
      <x:c r="Y295" t="str">
        <x:v>missing contact point</x:v>
      </x:c>
      <x:c r="Z295" t="str">
        <x:v>Human check: The clip looks like generic DIY stock footage rather than this specific step. The main problem is missing contact point, and the end state is not verifiable. On a small preview it might pass, but full-screen review exposes the issue. The baseline prompt is likely under-specifying the tool path.</x:v>
      </x:c>
      <x:c r="AA295" t="str">
        <x:v>Use a reference image for the trim router and specify its grip/orientation in plain language.</x:v>
      </x:c>
      <x:c r="AB295" t="str">
        <x:v>Medium</x:v>
      </x:c>
      <x:c r="AC295" t="str"/>
      <x:c r="AD295" t="str">
        <x:v>Synthetic benchmark entry; generated clip URL should be filled after API run.</x:v>
      </x:c>
    </x:row>
    <x:row r="296">
      <x:c r="A296" t="str">
        <x:v>S050-Veo-STR</x:v>
      </x:c>
      <x:c r="B296" t="str">
        <x:v>S050</x:v>
      </x:c>
      <x:c r="C296" t="str">
        <x:v>Woodworking</x:v>
      </x:c>
      <x:c r="D296" t="str">
        <x:v>chiseling</x:v>
      </x:c>
      <x:c r="E296" t="str">
        <x:v>paring</x:v>
      </x:c>
      <x:c r="F296" t="n">
        <x:v>4</x:v>
      </x:c>
      <x:c r="G296" t="str">
        <x:v>pare a shallow notch with a sharp chisel bevel up</x:v>
      </x:c>
      <x:c r="H296" t="str">
        <x:v>bench chisel</x:v>
      </x:c>
      <x:c r="I296" t="str">
        <x:v>notched wood surface</x:v>
      </x:c>
      <x:c r="J296" t="str">
        <x:v>Veo 3.1</x:v>
      </x:c>
      <x:c r="K296" t="str">
        <x:v>Structured Action-Object-Tool</x:v>
      </x:c>
      <x:c r="L296" t="str">
        <x:v>Action, tool, object, grip, contact point, start/end states.</x:v>
      </x:c>
      <x:c r="M296" t="str">
        <x:v>Close-up realistic instructional DIY video: pare a shallow notch with a sharp chisel bevel up. Show bench chisel working on notched wood surface. Hands visible, stable camera, no text overlay, neutral shop lighting. Action=paring; tool=bench chisel; object/material=notched wood surface; show tool-to-object contact; start state, motion, and finished state all visible.</x:v>
      </x:c>
      <x:c r="N296" s="14" t="n">
        <x:v>8</x:v>
      </x:c>
      <x:c r="O296" s="14" t="n">
        <x:v>100500</x:v>
      </x:c>
      <x:c r="P296" t="str">
        <x:v>R-D</x:v>
      </x:c>
      <x:c r="Q296" s="12" t="n">
        <x:v>3.46</x:v>
      </x:c>
      <x:c r="R296" s="12" t="n">
        <x:v>4.04</x:v>
      </x:c>
      <x:c r="S296" s="12" t="n">
        <x:v>4.19</x:v>
      </x:c>
      <x:c r="T296" s="12" t="n">
        <x:v>4.3</x:v>
      </x:c>
      <x:c r="U296" s="12" t="n">
        <x:v>3.54</x:v>
      </x:c>
      <x:c r="V296" s="12" t="n">
        <x:v>3.96</x:v>
      </x:c>
      <x:c r="W296" s="12" t="n">
        <x:f>ROUND((Q296*0.24)+(R296*0.22)+(S296*0.16)+(T296*0.18)+(U296*0.10)+(V296*0.10),2)</x:f>
        <x:v>3.91</x:v>
      </x:c>
      <x:c r="X296" t="str">
        <x:f>IF(W296&gt;=3.55,"Pass","Fail")</x:f>
        <x:v>Pass</x:v>
      </x:c>
      <x:c r="Y296" t="str">
        <x:v>endpoint not visible</x:v>
      </x:c>
      <x:c r="Z296" t="str">
        <x:v>Rater note: I would keep this as a rough candidate. It communicates the step, although the failure mode makes it weaker than a real sourced clip: endpoint not visible. This would be safer as a reference-aided run than a text-only run. For this woodworking example, the main judgment is still whether the viewer can copy the motion.</x:v>
      </x:c>
      <x:c r="AA296" t="str">
        <x:v>Specify the exact contact point and do not allow the hand to cover it.</x:v>
      </x:c>
      <x:c r="AB296" t="str">
        <x:v>High</x:v>
      </x:c>
      <x:c r="AC296" t="str"/>
      <x:c r="AD296" t="str">
        <x:v>Simulated pilot row for planning; replace with blinded ratings after generating actual clips.</x:v>
      </x:c>
    </x:row>
    <x:row r="297">
      <x:c r="A297" t="str">
        <x:v>S050-Sora-STR</x:v>
      </x:c>
      <x:c r="B297" t="str">
        <x:v>S050</x:v>
      </x:c>
      <x:c r="C297" t="str">
        <x:v>Woodworking</x:v>
      </x:c>
      <x:c r="D297" t="str">
        <x:v>chiseling</x:v>
      </x:c>
      <x:c r="E297" t="str">
        <x:v>paring</x:v>
      </x:c>
      <x:c r="F297" t="n">
        <x:v>4</x:v>
      </x:c>
      <x:c r="G297" t="str">
        <x:v>pare a shallow notch with a sharp chisel bevel up</x:v>
      </x:c>
      <x:c r="H297" t="str">
        <x:v>bench chisel</x:v>
      </x:c>
      <x:c r="I297" t="str">
        <x:v>notched wood surface</x:v>
      </x:c>
      <x:c r="J297" t="str">
        <x:v>Sora 2 Pro</x:v>
      </x:c>
      <x:c r="K297" t="str">
        <x:v>Structured Action-Object-Tool</x:v>
      </x:c>
      <x:c r="L297" t="str">
        <x:v>Action, tool, object, grip, contact point, start/end states.</x:v>
      </x:c>
      <x:c r="M297" t="str">
        <x:v>Close-up realistic instructional DIY video: pare a shallow notch with a sharp chisel bevel up. Show bench chisel working on notched wood surface. Hands visible, stable camera, no text overlay, neutral shop lighting. Action=paring; tool=bench chisel; object/material=notched wood surface; show tool-to-object contact; start state, motion, and finished state all visible.</x:v>
      </x:c>
      <x:c r="N297" s="14" t="n">
        <x:v>8</x:v>
      </x:c>
      <x:c r="O297" s="14" t="n">
        <x:v>100501</x:v>
      </x:c>
      <x:c r="P297" t="str">
        <x:v>R-A</x:v>
      </x:c>
      <x:c r="Q297" s="12" t="n">
        <x:v>4.05</x:v>
      </x:c>
      <x:c r="R297" s="12" t="n">
        <x:v>4.67</x:v>
      </x:c>
      <x:c r="S297" s="12" t="n">
        <x:v>3.54</x:v>
      </x:c>
      <x:c r="T297" s="12" t="n">
        <x:v>3.39</x:v>
      </x:c>
      <x:c r="U297" s="12" t="n">
        <x:v>3.47</x:v>
      </x:c>
      <x:c r="V297" s="12" t="n">
        <x:v>3.73</x:v>
      </x:c>
      <x:c r="W297" s="12" t="n">
        <x:f>ROUND((Q297*0.24)+(R297*0.22)+(S297*0.16)+(T297*0.18)+(U297*0.10)+(V297*0.10),2)</x:f>
        <x:v>3.9</x:v>
      </x:c>
      <x:c r="X297" t="str">
        <x:f>IF(W297&gt;=3.55,"Pass","Fail")</x:f>
        <x:v>Pass</x:v>
      </x:c>
      <x:c r="Y297" t="str">
        <x:v>none</x:v>
      </x:c>
      <x:c r="Z297" t="str">
        <x:v>Human check: I would keep this as a rough candidate. It communicates the step, although the failure mode makes it weaker than a real sourced clip: none. The most important fix is to show the before-and-after state without a cut. For this woodworking example, the main judgment is still whether the viewer can copy the motion.</x:v>
      </x:c>
      <x:c r="AA297" t="str">
        <x:v>Move safety language earlier in the prompt and remove cinematic camera instructions.</x:v>
      </x:c>
      <x:c r="AB297" t="str">
        <x:v>High</x:v>
      </x:c>
      <x:c r="AC297" t="str"/>
      <x:c r="AD297" t="str">
        <x:v>Synthetic benchmark entry; generated clip URL should be filled after API run.</x:v>
      </x:c>
    </x:row>
    <x:row r="298">
      <x:c r="A298" t="str">
        <x:v>S050-Runway-STR</x:v>
      </x:c>
      <x:c r="B298" t="str">
        <x:v>S050</x:v>
      </x:c>
      <x:c r="C298" t="str">
        <x:v>Woodworking</x:v>
      </x:c>
      <x:c r="D298" t="str">
        <x:v>chiseling</x:v>
      </x:c>
      <x:c r="E298" t="str">
        <x:v>paring</x:v>
      </x:c>
      <x:c r="F298" t="n">
        <x:v>4</x:v>
      </x:c>
      <x:c r="G298" t="str">
        <x:v>pare a shallow notch with a sharp chisel bevel up</x:v>
      </x:c>
      <x:c r="H298" t="str">
        <x:v>bench chisel</x:v>
      </x:c>
      <x:c r="I298" t="str">
        <x:v>notched wood surface</x:v>
      </x:c>
      <x:c r="J298" t="str">
        <x:v>Runway Gen-4.5</x:v>
      </x:c>
      <x:c r="K298" t="str">
        <x:v>Structured Action-Object-Tool</x:v>
      </x:c>
      <x:c r="L298" t="str">
        <x:v>Action, tool, object, grip, contact point, start/end states.</x:v>
      </x:c>
      <x:c r="M298" t="str">
        <x:v>Close-up realistic instructional DIY video: pare a shallow notch with a sharp chisel bevel up. Show bench chisel working on notched wood surface. Hands visible, stable camera, no text overlay, neutral shop lighting. Action=paring; tool=bench chisel; object/material=notched wood surface; show tool-to-object contact; start state, motion, and finished state all visible.</x:v>
      </x:c>
      <x:c r="N298" s="14" t="n">
        <x:v>5</x:v>
      </x:c>
      <x:c r="O298" s="14" t="n">
        <x:v>100502</x:v>
      </x:c>
      <x:c r="P298" t="str">
        <x:v>R-E</x:v>
      </x:c>
      <x:c r="Q298" s="12" t="n">
        <x:v>4.04</x:v>
      </x:c>
      <x:c r="R298" s="12" t="n">
        <x:v>4.19</x:v>
      </x:c>
      <x:c r="S298" s="12" t="n">
        <x:v>3.48</x:v>
      </x:c>
      <x:c r="T298" s="12" t="n">
        <x:v>4.44</x:v>
      </x:c>
      <x:c r="U298" s="12" t="n">
        <x:v>3.34</x:v>
      </x:c>
      <x:c r="V298" s="12" t="n">
        <x:v>3.82</x:v>
      </x:c>
      <x:c r="W298" s="12" t="n">
        <x:f>ROUND((Q298*0.24)+(R298*0.22)+(S298*0.16)+(T298*0.18)+(U298*0.10)+(V298*0.10),2)</x:f>
        <x:v>3.96</x:v>
      </x:c>
      <x:c r="X298" t="str">
        <x:f>IF(W298&gt;=3.55,"Pass","Fail")</x:f>
        <x:v>Pass</x:v>
      </x:c>
      <x:c r="Y298" t="str">
        <x:v>contact point hidden</x:v>
      </x:c>
      <x:c r="Z298" t="str">
        <x:v>QA note: Looks plausible at first glance. On a second pass, the notched wood surface shifts slightly and the model seems to infer the outcome rather than show the full paring. The prompt should prioritize hand path over cinematic lighting. For this woodworking example, the main judgment is still whether the viewer can copy the motion.</x:v>
      </x:c>
      <x:c r="AA298" t="str">
        <x:v>Use sequential context only for continuity, not for adding previous/next steps into the frame.</x:v>
      </x:c>
      <x:c r="AB298" t="str">
        <x:v>Medium</x:v>
      </x:c>
      <x:c r="AC298" t="str"/>
      <x:c r="AD298" t="str">
        <x:v>Planning dataset only; scores are plausible placeholders, not vendor claims.</x:v>
      </x:c>
    </x:row>
    <x:row r="299">
      <x:c r="A299" t="str">
        <x:v>S050-Kling-STR</x:v>
      </x:c>
      <x:c r="B299" t="str">
        <x:v>S050</x:v>
      </x:c>
      <x:c r="C299" t="str">
        <x:v>Woodworking</x:v>
      </x:c>
      <x:c r="D299" t="str">
        <x:v>chiseling</x:v>
      </x:c>
      <x:c r="E299" t="str">
        <x:v>paring</x:v>
      </x:c>
      <x:c r="F299" t="n">
        <x:v>4</x:v>
      </x:c>
      <x:c r="G299" t="str">
        <x:v>pare a shallow notch with a sharp chisel bevel up</x:v>
      </x:c>
      <x:c r="H299" t="str">
        <x:v>bench chisel</x:v>
      </x:c>
      <x:c r="I299" t="str">
        <x:v>notched wood surface</x:v>
      </x:c>
      <x:c r="J299" t="str">
        <x:v>Kling v3.0 (Replicate)</x:v>
      </x:c>
      <x:c r="K299" t="str">
        <x:v>Structured Action-Object-Tool</x:v>
      </x:c>
      <x:c r="L299" t="str">
        <x:v>Action, tool, object, grip, contact point, start/end states.</x:v>
      </x:c>
      <x:c r="M299" t="str">
        <x:v>Close-up realistic instructional DIY video: pare a shallow notch with a sharp chisel bevel up. Show bench chisel working on notched wood surface. Hands visible, stable camera, no text overlay, neutral shop lighting. Action=paring; tool=bench chisel; object/material=notched wood surface; show tool-to-object contact; start state, motion, and finished state all visible.</x:v>
      </x:c>
      <x:c r="N299" s="14" t="n">
        <x:v>10</x:v>
      </x:c>
      <x:c r="O299" s="14" t="n">
        <x:v>100503</x:v>
      </x:c>
      <x:c r="P299" t="str">
        <x:v>R-C</x:v>
      </x:c>
      <x:c r="Q299" s="12" t="n">
        <x:v>4.25</x:v>
      </x:c>
      <x:c r="R299" s="12" t="n">
        <x:v>4.2</x:v>
      </x:c>
      <x:c r="S299" s="12" t="n">
        <x:v>3.34</x:v>
      </x:c>
      <x:c r="T299" s="12" t="n">
        <x:v>3.63</x:v>
      </x:c>
      <x:c r="U299" s="12" t="n">
        <x:v>3.59</x:v>
      </x:c>
      <x:c r="V299" s="12" t="n">
        <x:v>3.63</x:v>
      </x:c>
      <x:c r="W299" s="12" t="n">
        <x:f>ROUND((Q299*0.24)+(R299*0.22)+(S299*0.16)+(T299*0.18)+(U299*0.10)+(V299*0.10),2)</x:f>
        <x:v>3.85</x:v>
      </x:c>
      <x:c r="X299" t="str">
        <x:f>IF(W299&gt;=3.55,"Pass","Fail")</x:f>
        <x:v>Pass</x:v>
      </x:c>
      <x:c r="Y299" t="str">
        <x:v>endpoint not visible</x:v>
      </x:c>
      <x:c r="Z299" t="str">
        <x:v>QA note: The intention is clear, especially if you already know the step. A novice might miss the key detail because this issue appears right where the action should be most explicit: endpoint not visible. The clip needs a verifier pass before it can enter the training pool. For this woodworking example, the main judgment is still whether the viewer can copy the motion.</x:v>
      </x:c>
      <x:c r="AA299" t="str">
        <x:v>Break the action into start, contact, movement, and finish; ban extra tools and hand morphing.</x:v>
      </x:c>
      <x:c r="AB299" t="str">
        <x:v>High</x:v>
      </x:c>
      <x:c r="AC299" t="str"/>
      <x:c r="AD299" t="str">
        <x:v>Mock rater record for experiment design; audit against real video outputs before publication.</x:v>
      </x:c>
    </x:row>
    <x:row r="300">
      <x:c r="A300" t="str">
        <x:v>S050-Pika-STR</x:v>
      </x:c>
      <x:c r="B300" t="str">
        <x:v>S050</x:v>
      </x:c>
      <x:c r="C300" t="str">
        <x:v>Woodworking</x:v>
      </x:c>
      <x:c r="D300" t="str">
        <x:v>chiseling</x:v>
      </x:c>
      <x:c r="E300" t="str">
        <x:v>paring</x:v>
      </x:c>
      <x:c r="F300" t="n">
        <x:v>4</x:v>
      </x:c>
      <x:c r="G300" t="str">
        <x:v>pare a shallow notch with a sharp chisel bevel up</x:v>
      </x:c>
      <x:c r="H300" t="str">
        <x:v>bench chisel</x:v>
      </x:c>
      <x:c r="I300" t="str">
        <x:v>notched wood surface</x:v>
      </x:c>
      <x:c r="J300" t="str">
        <x:v>Pika 2.2</x:v>
      </x:c>
      <x:c r="K300" t="str">
        <x:v>Structured Action-Object-Tool</x:v>
      </x:c>
      <x:c r="L300" t="str">
        <x:v>Action, tool, object, grip, contact point, start/end states.</x:v>
      </x:c>
      <x:c r="M300" t="str">
        <x:v>Close-up realistic instructional DIY video: pare a shallow notch with a sharp chisel bevel up. Show bench chisel working on notched wood surface. Hands visible, stable camera, no text overlay, neutral shop lighting. Action=paring; tool=bench chisel; object/material=notched wood surface; show tool-to-object contact; start state, motion, and finished state all visible.</x:v>
      </x:c>
      <x:c r="N300" s="14" t="n">
        <x:v>5</x:v>
      </x:c>
      <x:c r="O300" s="14" t="n">
        <x:v>100504</x:v>
      </x:c>
      <x:c r="P300" t="str">
        <x:v>R-B</x:v>
      </x:c>
      <x:c r="Q300" s="12" t="n">
        <x:v>3.79</x:v>
      </x:c>
      <x:c r="R300" s="12" t="n">
        <x:v>3.07</x:v>
      </x:c>
      <x:c r="S300" s="12" t="n">
        <x:v>3.23</x:v>
      </x:c>
      <x:c r="T300" s="12" t="n">
        <x:v>3.38</x:v>
      </x:c>
      <x:c r="U300" s="12" t="n">
        <x:v>3.71</x:v>
      </x:c>
      <x:c r="V300" s="12" t="n">
        <x:v>3.13</x:v>
      </x:c>
      <x:c r="W300" s="12" t="n">
        <x:f>ROUND((Q300*0.24)+(R300*0.22)+(S300*0.16)+(T300*0.18)+(U300*0.10)+(V300*0.10),2)</x:f>
        <x:v>3.39</x:v>
      </x:c>
      <x:c r="X300" t="str">
        <x:f>IF(W300&gt;=3.55,"Pass","Fail")</x:f>
        <x:v>Fail</x:v>
      </x:c>
      <x:c r="Y300" t="str">
        <x:v>action starts too late</x:v>
      </x:c>
      <x:c r="Z300" t="str">
        <x:v>Human check: The generated clip loses the procedure. I would re-run with a reference frame and a stricter Action-Object-Tool prompt. The tool silhouette is acceptable; the mechanics are the weak part. For this woodworking example, the main judgment is still whether the viewer can copy the motion.</x:v>
      </x:c>
      <x:c r="AA300" t="str">
        <x:v>Break the action into start, contact, movement, and finish; ban extra tools and hand morphing.</x:v>
      </x:c>
      <x:c r="AB300" t="str">
        <x:v>Medium-High</x:v>
      </x:c>
      <x:c r="AC300" t="str"/>
      <x:c r="AD300" t="str">
        <x:v>Mock rater record for experiment design; audit against real video outputs before publication.</x:v>
      </x:c>
    </x:row>
    <x:row r="301">
      <x:c r="A301" t="str">
        <x:v>S050-Vidu-STR</x:v>
      </x:c>
      <x:c r="B301" t="str">
        <x:v>S050</x:v>
      </x:c>
      <x:c r="C301" t="str">
        <x:v>Woodworking</x:v>
      </x:c>
      <x:c r="D301" t="str">
        <x:v>chiseling</x:v>
      </x:c>
      <x:c r="E301" t="str">
        <x:v>paring</x:v>
      </x:c>
      <x:c r="F301" t="n">
        <x:v>4</x:v>
      </x:c>
      <x:c r="G301" t="str">
        <x:v>pare a shallow notch with a sharp chisel bevel up</x:v>
      </x:c>
      <x:c r="H301" t="str">
        <x:v>bench chisel</x:v>
      </x:c>
      <x:c r="I301" t="str">
        <x:v>notched wood surface</x:v>
      </x:c>
      <x:c r="J301" t="str">
        <x:v>Vidu 2.0</x:v>
      </x:c>
      <x:c r="K301" t="str">
        <x:v>Structured Action-Object-Tool</x:v>
      </x:c>
      <x:c r="L301" t="str">
        <x:v>Action, tool, object, grip, contact point, start/end states.</x:v>
      </x:c>
      <x:c r="M301" t="str">
        <x:v>Close-up realistic instructional DIY video: pare a shallow notch with a sharp chisel bevel up. Show bench chisel working on notched wood surface. Hands visible, stable camera, no text overlay, neutral shop lighting. Action=paring; tool=bench chisel; object/material=notched wood surface; show tool-to-object contact; start state, motion, and finished state all visible.</x:v>
      </x:c>
      <x:c r="N301" s="14" t="n">
        <x:v>5</x:v>
      </x:c>
      <x:c r="O301" s="14" t="n">
        <x:v>100505</x:v>
      </x:c>
      <x:c r="P301" t="str">
        <x:v>R-B</x:v>
      </x:c>
      <x:c r="Q301" s="12" t="n">
        <x:v>3.19</x:v>
      </x:c>
      <x:c r="R301" s="12" t="n">
        <x:v>3.06</x:v>
      </x:c>
      <x:c r="S301" s="12" t="n">
        <x:v>3.16</x:v>
      </x:c>
      <x:c r="T301" s="12" t="n">
        <x:v>2.99</x:v>
      </x:c>
      <x:c r="U301" s="12" t="n">
        <x:v>3.15</x:v>
      </x:c>
      <x:c r="V301" s="12" t="n">
        <x:v>3.47</x:v>
      </x:c>
      <x:c r="W301" s="12" t="n">
        <x:f>ROUND((Q301*0.24)+(R301*0.22)+(S301*0.16)+(T301*0.18)+(U301*0.10)+(V301*0.10),2)</x:f>
        <x:v>3.14</x:v>
      </x:c>
      <x:c r="X301" t="str">
        <x:f>IF(W301&gt;=3.55,"Pass","Fail")</x:f>
        <x:v>Fail</x:v>
      </x:c>
      <x:c r="Y301" t="str">
        <x:v>object morphs</x:v>
      </x:c>
      <x:c r="Z301" t="str">
        <x:v>Human check: The clip looks like generic DIY stock footage rather than this specific step. The main problem is object morphs, and the end state is not verifiable. This reads better as a teaser than as an instructional clip. For this woodworking example, the main judgment is still whether the viewer can copy the motion.</x:v>
      </x:c>
      <x:c r="AA301" t="str">
        <x:v>Break the action into start, contact, movement, and finish; ban extra tools and hand morphing.</x:v>
      </x:c>
      <x:c r="AB301" t="str">
        <x:v>Low</x:v>
      </x:c>
      <x:c r="AC301" t="str"/>
      <x:c r="AD301" t="str">
        <x:v>Synthetic benchmark entry; generated clip URL should be filled after API run.</x:v>
      </x:c>
    </x:row>
    <x:row r="302">
      <x:c r="A302" t="str">
        <x:v>S051-Veo-MET</x:v>
      </x:c>
      <x:c r="B302" t="str">
        <x:v>S051</x:v>
      </x:c>
      <x:c r="C302" t="str">
        <x:v>Woodworking</x:v>
      </x:c>
      <x:c r="D302" t="str">
        <x:v>assembly</x:v>
      </x:c>
      <x:c r="E302" t="str">
        <x:v>aligning</x:v>
      </x:c>
      <x:c r="F302" t="n">
        <x:v>3</x:v>
      </x:c>
      <x:c r="G302" t="str">
        <x:v>align two boards before tightening pocket-hole screws</x:v>
      </x:c>
      <x:c r="H302" t="str">
        <x:v>pocket-hole jig screws</x:v>
      </x:c>
      <x:c r="I302" t="str">
        <x:v>two boards</x:v>
      </x:c>
      <x:c r="J302" t="str">
        <x:v>Veo 3.1</x:v>
      </x:c>
      <x:c r="K302" t="str">
        <x:v>Metadata-Enriched</x:v>
      </x:c>
      <x:c r="L302" t="str">
        <x:v>Uses clipDescription, clipSummary, toolNames, suppliesNames, processTechniques, safetyEquipment.</x:v>
      </x:c>
      <x:c r="M302" t="str">
        <x:v>Close-up realistic instructional DIY video: align two boards before tightening pocket-hole screws. Show pocket-hole jig screws working on two boards. Hands visible, stable camera, no text overlay, neutral shop lighting. clipDescription='align two boards before tightening pocket-hole screws'. clipSummary='one practical repair step'. toolNames='pocket-hole jig screws'. suppliesNames='two boards'. processTechnique='aligning'. Safety cue: use normal homeowner precautions and avoid risky shortcuts.</x:v>
      </x:c>
      <x:c r="N302" s="14" t="n">
        <x:v>8</x:v>
      </x:c>
      <x:c r="O302" s="14" t="n">
        <x:v>100510</x:v>
      </x:c>
      <x:c r="P302" t="str">
        <x:v>R-D</x:v>
      </x:c>
      <x:c r="Q302" s="12" t="n">
        <x:v>3.84</x:v>
      </x:c>
      <x:c r="R302" s="12" t="n">
        <x:v>4.45</x:v>
      </x:c>
      <x:c r="S302" s="12" t="n">
        <x:v>4.46</x:v>
      </x:c>
      <x:c r="T302" s="12" t="n">
        <x:v>4.33</x:v>
      </x:c>
      <x:c r="U302" s="12" t="n">
        <x:v>4.05</x:v>
      </x:c>
      <x:c r="V302" s="12" t="n">
        <x:v>4.52</x:v>
      </x:c>
      <x:c r="W302" s="12" t="n">
        <x:f>ROUND((Q302*0.24)+(R302*0.22)+(S302*0.16)+(T302*0.18)+(U302*0.10)+(V302*0.10),2)</x:f>
        <x:v>4.25</x:v>
      </x:c>
      <x:c r="X302" t="str">
        <x:f>IF(W302&gt;=3.55,"Pass","Fail")</x:f>
        <x:v>Pass</x:v>
      </x:c>
      <x:c r="Y302" t="str">
        <x:v>none</x:v>
      </x:c>
      <x:c r="Z302" t="str">
        <x:v>QA note: This one would probably pass a quick review. The pocket-hole jig screws stays believable, the start and end states are easy to read, and the only nit is that occasional extra hand. This would be safer as a reference-aided run than a text-only run. For this woodworking example, the main judgment is still whether the viewer can copy the motion.</x:v>
      </x:c>
      <x:c r="AA302" t="str">
        <x:v>No immediate re-run; keep as candidate and verify with a second rater.</x:v>
      </x:c>
      <x:c r="AB302" t="str">
        <x:v>High</x:v>
      </x:c>
      <x:c r="AC302" t="str"/>
      <x:c r="AD302" t="str">
        <x:v>Synthetic benchmark entry; generated clip URL should be filled after API run.</x:v>
      </x:c>
    </x:row>
    <x:row r="303">
      <x:c r="A303" t="str">
        <x:v>S051-Sora-MET</x:v>
      </x:c>
      <x:c r="B303" t="str">
        <x:v>S051</x:v>
      </x:c>
      <x:c r="C303" t="str">
        <x:v>Woodworking</x:v>
      </x:c>
      <x:c r="D303" t="str">
        <x:v>assembly</x:v>
      </x:c>
      <x:c r="E303" t="str">
        <x:v>aligning</x:v>
      </x:c>
      <x:c r="F303" t="n">
        <x:v>3</x:v>
      </x:c>
      <x:c r="G303" t="str">
        <x:v>align two boards before tightening pocket-hole screws</x:v>
      </x:c>
      <x:c r="H303" t="str">
        <x:v>pocket-hole jig screws</x:v>
      </x:c>
      <x:c r="I303" t="str">
        <x:v>two boards</x:v>
      </x:c>
      <x:c r="J303" t="str">
        <x:v>Sora 2 Pro</x:v>
      </x:c>
      <x:c r="K303" t="str">
        <x:v>Metadata-Enriched</x:v>
      </x:c>
      <x:c r="L303" t="str">
        <x:v>Uses clipDescription, clipSummary, toolNames, suppliesNames, processTechniques, safetyEquipment.</x:v>
      </x:c>
      <x:c r="M303" t="str">
        <x:v>Close-up realistic instructional DIY video: align two boards before tightening pocket-hole screws. Show pocket-hole jig screws working on two boards. Hands visible, stable camera, no text overlay, neutral shop lighting. clipDescription='align two boards before tightening pocket-hole screws'. clipSummary='one practical repair step'. toolNames='pocket-hole jig screws'. suppliesNames='two boards'. processTechnique='aligning'. Safety cue: use normal homeowner precautions and avoid risky shortcuts.</x:v>
      </x:c>
      <x:c r="N303" s="14" t="n">
        <x:v>8</x:v>
      </x:c>
      <x:c r="O303" s="14" t="n">
        <x:v>100511</x:v>
      </x:c>
      <x:c r="P303" t="str">
        <x:v>R-E</x:v>
      </x:c>
      <x:c r="Q303" s="12" t="n">
        <x:v>4.28</x:v>
      </x:c>
      <x:c r="R303" s="12" t="n">
        <x:v>4.04</x:v>
      </x:c>
      <x:c r="S303" s="12" t="n">
        <x:v>4.47</x:v>
      </x:c>
      <x:c r="T303" s="12" t="n">
        <x:v>4.69</x:v>
      </x:c>
      <x:c r="U303" s="12" t="n">
        <x:v>3.98</x:v>
      </x:c>
      <x:c r="V303" s="12" t="n">
        <x:v>4.43</x:v>
      </x:c>
      <x:c r="W303" s="12" t="n">
        <x:f>ROUND((Q303*0.24)+(R303*0.22)+(S303*0.16)+(T303*0.18)+(U303*0.10)+(V303*0.10),2)</x:f>
        <x:v>4.32</x:v>
      </x:c>
      <x:c r="X303" t="str">
        <x:f>IF(W303&gt;=3.55,"Pass","Fail")</x:f>
        <x:v>Pass</x:v>
      </x:c>
      <x:c r="Y303" t="str">
        <x:v>none</x:v>
      </x:c>
      <x:c r="Z303" t="str">
        <x:v>Clip review: Clear enough for a learner. The workpiece does not wander and the camera stays on the two boards; I would still add a freeze or caption after generation. I would keep the same camera angle but ask for a tighter view of the contact point. For this woodworking example, the main judgment is still whether the viewer can copy the motion.</x:v>
      </x:c>
      <x:c r="AA303" t="str">
        <x:v>No immediate re-run; keep as candidate and verify with a second rater.</x:v>
      </x:c>
      <x:c r="AB303" t="str">
        <x:v>High</x:v>
      </x:c>
      <x:c r="AC303" t="str"/>
      <x:c r="AD303" t="str">
        <x:v>Synthetic benchmark entry; generated clip URL should be filled after API run.</x:v>
      </x:c>
    </x:row>
    <x:row r="304">
      <x:c r="A304" t="str">
        <x:v>S051-Runway-MET</x:v>
      </x:c>
      <x:c r="B304" t="str">
        <x:v>S051</x:v>
      </x:c>
      <x:c r="C304" t="str">
        <x:v>Woodworking</x:v>
      </x:c>
      <x:c r="D304" t="str">
        <x:v>assembly</x:v>
      </x:c>
      <x:c r="E304" t="str">
        <x:v>aligning</x:v>
      </x:c>
      <x:c r="F304" t="n">
        <x:v>3</x:v>
      </x:c>
      <x:c r="G304" t="str">
        <x:v>align two boards before tightening pocket-hole screws</x:v>
      </x:c>
      <x:c r="H304" t="str">
        <x:v>pocket-hole jig screws</x:v>
      </x:c>
      <x:c r="I304" t="str">
        <x:v>two boards</x:v>
      </x:c>
      <x:c r="J304" t="str">
        <x:v>Runway Gen-4.5</x:v>
      </x:c>
      <x:c r="K304" t="str">
        <x:v>Metadata-Enriched</x:v>
      </x:c>
      <x:c r="L304" t="str">
        <x:v>Uses clipDescription, clipSummary, toolNames, suppliesNames, processTechniques, safetyEquipment.</x:v>
      </x:c>
      <x:c r="M304" t="str">
        <x:v>Close-up realistic instructional DIY video: align two boards before tightening pocket-hole screws. Show pocket-hole jig screws working on two boards. Hands visible, stable camera, no text overlay, neutral shop lighting. clipDescription='align two boards before tightening pocket-hole screws'. clipSummary='one practical repair step'. toolNames='pocket-hole jig screws'. suppliesNames='two boards'. processTechnique='aligning'. Safety cue: use normal homeowner precautions and avoid risky shortcuts.</x:v>
      </x:c>
      <x:c r="N304" s="14" t="n">
        <x:v>5</x:v>
      </x:c>
      <x:c r="O304" s="14" t="n">
        <x:v>100512</x:v>
      </x:c>
      <x:c r="P304" t="str">
        <x:v>R-D</x:v>
      </x:c>
      <x:c r="Q304" s="12" t="n">
        <x:v>4.04</x:v>
      </x:c>
      <x:c r="R304" s="12" t="n">
        <x:v>3.77</x:v>
      </x:c>
      <x:c r="S304" s="12" t="n">
        <x:v>3.93</x:v>
      </x:c>
      <x:c r="T304" s="12" t="n">
        <x:v>3.56</x:v>
      </x:c>
      <x:c r="U304" s="12" t="n">
        <x:v>3.93</x:v>
      </x:c>
      <x:c r="V304" s="12" t="n">
        <x:v>4.7</x:v>
      </x:c>
      <x:c r="W304" s="12" t="n">
        <x:f>ROUND((Q304*0.24)+(R304*0.22)+(S304*0.16)+(T304*0.18)+(U304*0.10)+(V304*0.10),2)</x:f>
        <x:v>3.93</x:v>
      </x:c>
      <x:c r="X304" t="str">
        <x:f>IF(W304&gt;=3.55,"Pass","Fail")</x:f>
        <x:v>Pass</x:v>
      </x:c>
      <x:c r="Y304" t="str">
        <x:v>none</x:v>
      </x:c>
      <x:c r="Z304" t="str">
        <x:v>Review note: The clip has the right ingredients but not quite the right mechanics. It needs a tighter prompt about grip, contact, and the end position. The issue is subtle visually, but it matters because the clip is supposed to teach the technique. For this woodworking example, the main judgment is still whether the viewer can copy the motion.</x:v>
      </x:c>
      <x:c r="AA304" t="str">
        <x:v>Add a one-sentence end-state requirement: viewer must see the completed aligning result for one full second.</x:v>
      </x:c>
      <x:c r="AB304" t="str">
        <x:v>High</x:v>
      </x:c>
      <x:c r="AC304" t="str"/>
      <x:c r="AD304" t="str">
        <x:v>Synthetic benchmark entry; generated clip URL should be filled after API run.</x:v>
      </x:c>
    </x:row>
    <x:row r="305">
      <x:c r="A305" t="str">
        <x:v>S051-Kling-MET</x:v>
      </x:c>
      <x:c r="B305" t="str">
        <x:v>S051</x:v>
      </x:c>
      <x:c r="C305" t="str">
        <x:v>Woodworking</x:v>
      </x:c>
      <x:c r="D305" t="str">
        <x:v>assembly</x:v>
      </x:c>
      <x:c r="E305" t="str">
        <x:v>aligning</x:v>
      </x:c>
      <x:c r="F305" t="n">
        <x:v>3</x:v>
      </x:c>
      <x:c r="G305" t="str">
        <x:v>align two boards before tightening pocket-hole screws</x:v>
      </x:c>
      <x:c r="H305" t="str">
        <x:v>pocket-hole jig screws</x:v>
      </x:c>
      <x:c r="I305" t="str">
        <x:v>two boards</x:v>
      </x:c>
      <x:c r="J305" t="str">
        <x:v>Kling v3.0 (Replicate)</x:v>
      </x:c>
      <x:c r="K305" t="str">
        <x:v>Metadata-Enriched</x:v>
      </x:c>
      <x:c r="L305" t="str">
        <x:v>Uses clipDescription, clipSummary, toolNames, suppliesNames, processTechniques, safetyEquipment.</x:v>
      </x:c>
      <x:c r="M305" t="str">
        <x:v>Close-up realistic instructional DIY video: align two boards before tightening pocket-hole screws. Show pocket-hole jig screws working on two boards. Hands visible, stable camera, no text overlay, neutral shop lighting. clipDescription='align two boards before tightening pocket-hole screws'. clipSummary='one practical repair step'. toolNames='pocket-hole jig screws'. suppliesNames='two boards'. processTechnique='aligning'. Safety cue: use normal homeowner precautions and avoid risky shortcuts.</x:v>
      </x:c>
      <x:c r="N305" s="14" t="n">
        <x:v>10</x:v>
      </x:c>
      <x:c r="O305" s="14" t="n">
        <x:v>100513</x:v>
      </x:c>
      <x:c r="P305" t="str">
        <x:v>R-B</x:v>
      </x:c>
      <x:c r="Q305" s="12" t="n">
        <x:v>4.23</x:v>
      </x:c>
      <x:c r="R305" s="12" t="n">
        <x:v>3.8</x:v>
      </x:c>
      <x:c r="S305" s="12" t="n">
        <x:v>3.64</x:v>
      </x:c>
      <x:c r="T305" s="12" t="n">
        <x:v>3.31</x:v>
      </x:c>
      <x:c r="U305" s="12" t="n">
        <x:v>3.91</x:v>
      </x:c>
      <x:c r="V305" s="12" t="n">
        <x:v>4.36</x:v>
      </x:c>
      <x:c r="W305" s="12" t="n">
        <x:f>ROUND((Q305*0.24)+(R305*0.22)+(S305*0.16)+(T305*0.18)+(U305*0.10)+(V305*0.10),2)</x:f>
        <x:v>3.86</x:v>
      </x:c>
      <x:c r="X305" t="str">
        <x:f>IF(W305&gt;=3.55,"Pass","Fail")</x:f>
        <x:v>Pass</x:v>
      </x:c>
      <x:c r="Y305" t="str">
        <x:v>motion slightly compressed</x:v>
      </x:c>
      <x:c r="Z305" t="str">
        <x:v>Rater note: The intention is clear, especially if you already know the step. A novice might miss the key detail because this issue appears right where the action should be most explicit: motion slightly compressed. This would be safer as a reference-aided run than a text-only run. For this woodworking example, the main judgment is still whether the viewer can copy the motion.</x:v>
      </x:c>
      <x:c r="AA305" t="str">
        <x:v>Add a one-sentence end-state requirement: viewer must see the completed aligning result for one full second.</x:v>
      </x:c>
      <x:c r="AB305" t="str">
        <x:v>Medium-High</x:v>
      </x:c>
      <x:c r="AC305" t="str"/>
      <x:c r="AD305" t="str">
        <x:v>Planning dataset only; scores are plausible placeholders, not vendor claims.</x:v>
      </x:c>
    </x:row>
    <x:row r="306">
      <x:c r="A306" t="str">
        <x:v>S051-Pika-MET</x:v>
      </x:c>
      <x:c r="B306" t="str">
        <x:v>S051</x:v>
      </x:c>
      <x:c r="C306" t="str">
        <x:v>Woodworking</x:v>
      </x:c>
      <x:c r="D306" t="str">
        <x:v>assembly</x:v>
      </x:c>
      <x:c r="E306" t="str">
        <x:v>aligning</x:v>
      </x:c>
      <x:c r="F306" t="n">
        <x:v>3</x:v>
      </x:c>
      <x:c r="G306" t="str">
        <x:v>align two boards before tightening pocket-hole screws</x:v>
      </x:c>
      <x:c r="H306" t="str">
        <x:v>pocket-hole jig screws</x:v>
      </x:c>
      <x:c r="I306" t="str">
        <x:v>two boards</x:v>
      </x:c>
      <x:c r="J306" t="str">
        <x:v>Pika 2.2</x:v>
      </x:c>
      <x:c r="K306" t="str">
        <x:v>Metadata-Enriched</x:v>
      </x:c>
      <x:c r="L306" t="str">
        <x:v>Uses clipDescription, clipSummary, toolNames, suppliesNames, processTechniques, safetyEquipment.</x:v>
      </x:c>
      <x:c r="M306" t="str">
        <x:v>Close-up realistic instructional DIY video: align two boards before tightening pocket-hole screws. Show pocket-hole jig screws working on two boards. Hands visible, stable camera, no text overlay, neutral shop lighting. clipDescription='align two boards before tightening pocket-hole screws'. clipSummary='one practical repair step'. toolNames='pocket-hole jig screws'. suppliesNames='two boards'. processTechnique='aligning'. Safety cue: use normal homeowner precautions and avoid risky shortcuts.</x:v>
      </x:c>
      <x:c r="N306" s="14" t="n">
        <x:v>5</x:v>
      </x:c>
      <x:c r="O306" s="14" t="n">
        <x:v>100514</x:v>
      </x:c>
      <x:c r="P306" t="str">
        <x:v>R-C</x:v>
      </x:c>
      <x:c r="Q306" s="12" t="n">
        <x:v>3.49</x:v>
      </x:c>
      <x:c r="R306" s="12" t="n">
        <x:v>3.89</x:v>
      </x:c>
      <x:c r="S306" s="12" t="n">
        <x:v>3.63</x:v>
      </x:c>
      <x:c r="T306" s="12" t="n">
        <x:v>3.94</x:v>
      </x:c>
      <x:c r="U306" s="12" t="n">
        <x:v>3.8</x:v>
      </x:c>
      <x:c r="V306" s="12" t="n">
        <x:v>2.6</x:v>
      </x:c>
      <x:c r="W306" s="12" t="n">
        <x:f>ROUND((Q306*0.24)+(R306*0.22)+(S306*0.16)+(T306*0.18)+(U306*0.10)+(V306*0.10),2)</x:f>
        <x:v>3.62</x:v>
      </x:c>
      <x:c r="X306" t="str">
        <x:f>IF(W306&gt;=3.55,"Pass","Fail")</x:f>
        <x:v>Pass</x:v>
      </x:c>
      <x:c r="Y306" t="str">
        <x:v>action starts too late</x:v>
      </x:c>
      <x:c r="Z306" t="str">
        <x:v>Review note: The clip has the right ingredients but not quite the right mechanics. It needs a tighter prompt about grip, contact, and the end position. This reads better as a teaser than as an instructional clip. For this woodworking example, the main judgment is still whether the viewer can copy the motion.</x:v>
      </x:c>
      <x:c r="AA306" t="str">
        <x:v>Use sequential context only for continuity, not for adding previous/next steps into the frame.</x:v>
      </x:c>
      <x:c r="AB306" t="str">
        <x:v>High</x:v>
      </x:c>
      <x:c r="AC306" t="str"/>
      <x:c r="AD306" t="str">
        <x:v>Synthetic benchmark entry; generated clip URL should be filled after API run.</x:v>
      </x:c>
    </x:row>
    <x:row r="307">
      <x:c r="A307" t="str">
        <x:v>S051-Vidu-MET</x:v>
      </x:c>
      <x:c r="B307" t="str">
        <x:v>S051</x:v>
      </x:c>
      <x:c r="C307" t="str">
        <x:v>Woodworking</x:v>
      </x:c>
      <x:c r="D307" t="str">
        <x:v>assembly</x:v>
      </x:c>
      <x:c r="E307" t="str">
        <x:v>aligning</x:v>
      </x:c>
      <x:c r="F307" t="n">
        <x:v>3</x:v>
      </x:c>
      <x:c r="G307" t="str">
        <x:v>align two boards before tightening pocket-hole screws</x:v>
      </x:c>
      <x:c r="H307" t="str">
        <x:v>pocket-hole jig screws</x:v>
      </x:c>
      <x:c r="I307" t="str">
        <x:v>two boards</x:v>
      </x:c>
      <x:c r="J307" t="str">
        <x:v>Vidu 2.0</x:v>
      </x:c>
      <x:c r="K307" t="str">
        <x:v>Metadata-Enriched</x:v>
      </x:c>
      <x:c r="L307" t="str">
        <x:v>Uses clipDescription, clipSummary, toolNames, suppliesNames, processTechniques, safetyEquipment.</x:v>
      </x:c>
      <x:c r="M307" t="str">
        <x:v>Close-up realistic instructional DIY video: align two boards before tightening pocket-hole screws. Show pocket-hole jig screws working on two boards. Hands visible, stable camera, no text overlay, neutral shop lighting. clipDescription='align two boards before tightening pocket-hole screws'. clipSummary='one practical repair step'. toolNames='pocket-hole jig screws'. suppliesNames='two boards'. processTechnique='aligning'. Safety cue: use normal homeowner precautions and avoid risky shortcuts.</x:v>
      </x:c>
      <x:c r="N307" s="14" t="n">
        <x:v>5</x:v>
      </x:c>
      <x:c r="O307" s="14" t="n">
        <x:v>100515</x:v>
      </x:c>
      <x:c r="P307" t="str">
        <x:v>R-A</x:v>
      </x:c>
      <x:c r="Q307" s="12" t="n">
        <x:v>3.38</x:v>
      </x:c>
      <x:c r="R307" s="12" t="n">
        <x:v>2.55</x:v>
      </x:c>
      <x:c r="S307" s="12" t="n">
        <x:v>3.37</x:v>
      </x:c>
      <x:c r="T307" s="12" t="n">
        <x:v>3.6</x:v>
      </x:c>
      <x:c r="U307" s="12" t="n">
        <x:v>3.59</x:v>
      </x:c>
      <x:c r="V307" s="12" t="n">
        <x:v>3.08</x:v>
      </x:c>
      <x:c r="W307" s="12" t="n">
        <x:f>ROUND((Q307*0.24)+(R307*0.22)+(S307*0.16)+(T307*0.18)+(U307*0.10)+(V307*0.10),2)</x:f>
        <x:v>3.23</x:v>
      </x:c>
      <x:c r="X307" t="str">
        <x:f>IF(W307&gt;=3.55,"Pass","Fail")</x:f>
        <x:v>Fail</x:v>
      </x:c>
      <x:c r="Y307" t="str">
        <x:v>tool floats near object</x:v>
      </x:c>
      <x:c r="Z307" t="str">
        <x:v>Clip review: The generated clip loses the procedure. I would re-run with a reference frame and a stricter Action-Object-Tool prompt. The most important fix is to show the before-and-after state without a cut. For this woodworking example, the main judgment is still whether the viewer can copy the motion.</x:v>
      </x:c>
      <x:c r="AA307" t="str">
        <x:v>Break the action into start, contact, movement, and finish; ban extra tools and hand morphing.</x:v>
      </x:c>
      <x:c r="AB307" t="str">
        <x:v>High</x:v>
      </x:c>
      <x:c r="AC307" t="str"/>
      <x:c r="AD307" t="str">
        <x:v>Simulated pilot row for planning; replace with blinded ratings after generating actual clips.</x:v>
      </x:c>
    </x:row>
    <x:row r="308">
      <x:c r="A308" t="str">
        <x:v>S052-Veo-REF</x:v>
      </x:c>
      <x:c r="B308" t="str">
        <x:v>S052</x:v>
      </x:c>
      <x:c r="C308" t="str">
        <x:v>Woodworking</x:v>
      </x:c>
      <x:c r="D308" t="str">
        <x:v>finishing</x:v>
      </x:c>
      <x:c r="E308" t="str">
        <x:v>wiping</x:v>
      </x:c>
      <x:c r="F308" t="n">
        <x:v>2</x:v>
      </x:c>
      <x:c r="G308" t="str">
        <x:v>wipe excess stain off a board with a clean rag</x:v>
      </x:c>
      <x:c r="H308" t="str">
        <x:v>cotton rag</x:v>
      </x:c>
      <x:c r="I308" t="str">
        <x:v>stained wood surface</x:v>
      </x:c>
      <x:c r="J308" t="str">
        <x:v>Veo 3.1</x:v>
      </x:c>
      <x:c r="K308" t="str">
        <x:v>Reference-Guided</x:v>
      </x:c>
      <x:c r="L308" t="str">
        <x:v>Adds reference-tool/image cue and brand-agnostic visual constraints.</x:v>
      </x:c>
      <x:c r="M308" t="str">
        <x:v>Close-up realistic instructional DIY video: wipe excess stain off a board with a clean rag. Show cotton rag working on stained wood surface. Hands visible, stable camera, no text overlay, neutral shop lighting. Use a generic, brand-agnostic visual reference for the cotton rag; preserve the tool shape and scale; the cotton rag must remain in contact with stained wood surface during the key motion.</x:v>
      </x:c>
      <x:c r="N308" s="14" t="n">
        <x:v>8</x:v>
      </x:c>
      <x:c r="O308" s="14" t="n">
        <x:v>100520</x:v>
      </x:c>
      <x:c r="P308" t="str">
        <x:v>R-C</x:v>
      </x:c>
      <x:c r="Q308" s="12" t="n">
        <x:v>4.26</x:v>
      </x:c>
      <x:c r="R308" s="12" t="n">
        <x:v>4.55</x:v>
      </x:c>
      <x:c r="S308" s="12" t="n">
        <x:v>4.28</x:v>
      </x:c>
      <x:c r="T308" s="12" t="n">
        <x:v>4.39</x:v>
      </x:c>
      <x:c r="U308" s="12" t="n">
        <x:v>4.54</x:v>
      </x:c>
      <x:c r="V308" s="12" t="n">
        <x:v>4.6</x:v>
      </x:c>
      <x:c r="W308" s="12" t="n">
        <x:f>ROUND((Q308*0.24)+(R308*0.22)+(S308*0.16)+(T308*0.18)+(U308*0.10)+(V308*0.10),2)</x:f>
        <x:v>4.41</x:v>
      </x:c>
      <x:c r="X308" t="str">
        <x:f>IF(W308&gt;=3.55,"Pass","Fail")</x:f>
        <x:v>Pass</x:v>
      </x:c>
      <x:c r="Y308" t="str">
        <x:v>none</x:v>
      </x:c>
      <x:c r="Z308" t="str">
        <x:v>Clip review: Clear enough for a learner. The workpiece does not wander and the camera stays on the stained wood surface; I would still add a freeze or caption after generation. This reads better as a teaser than as an instructional clip. For this woodworking example, the main judgment is still whether the viewer can copy the motion.</x:v>
      </x:c>
      <x:c r="AA308" t="str">
        <x:v>No immediate re-run; keep as candidate and verify with a second rater.</x:v>
      </x:c>
      <x:c r="AB308" t="str">
        <x:v>Medium</x:v>
      </x:c>
      <x:c r="AC308" t="str"/>
      <x:c r="AD308" t="str">
        <x:v>Simulated pilot row for planning; replace with blinded ratings after generating actual clips.</x:v>
      </x:c>
    </x:row>
    <x:row r="309">
      <x:c r="A309" t="str">
        <x:v>S052-Sora-REF</x:v>
      </x:c>
      <x:c r="B309" t="str">
        <x:v>S052</x:v>
      </x:c>
      <x:c r="C309" t="str">
        <x:v>Woodworking</x:v>
      </x:c>
      <x:c r="D309" t="str">
        <x:v>finishing</x:v>
      </x:c>
      <x:c r="E309" t="str">
        <x:v>wiping</x:v>
      </x:c>
      <x:c r="F309" t="n">
        <x:v>2</x:v>
      </x:c>
      <x:c r="G309" t="str">
        <x:v>wipe excess stain off a board with a clean rag</x:v>
      </x:c>
      <x:c r="H309" t="str">
        <x:v>cotton rag</x:v>
      </x:c>
      <x:c r="I309" t="str">
        <x:v>stained wood surface</x:v>
      </x:c>
      <x:c r="J309" t="str">
        <x:v>Sora 2 Pro</x:v>
      </x:c>
      <x:c r="K309" t="str">
        <x:v>Reference-Guided</x:v>
      </x:c>
      <x:c r="L309" t="str">
        <x:v>Adds reference-tool/image cue and brand-agnostic visual constraints.</x:v>
      </x:c>
      <x:c r="M309" t="str">
        <x:v>Close-up realistic instructional DIY video: wipe excess stain off a board with a clean rag. Show cotton rag working on stained wood surface. Hands visible, stable camera, no text overlay, neutral shop lighting. Use a generic, brand-agnostic visual reference for the cotton rag; preserve the tool shape and scale; the cotton rag must remain in contact with stained wood surface during the key motion.</x:v>
      </x:c>
      <x:c r="N309" s="14" t="n">
        <x:v>8</x:v>
      </x:c>
      <x:c r="O309" s="14" t="n">
        <x:v>100521</x:v>
      </x:c>
      <x:c r="P309" t="str">
        <x:v>R-B</x:v>
      </x:c>
      <x:c r="Q309" s="12" t="n">
        <x:v>4.66</x:v>
      </x:c>
      <x:c r="R309" s="12" t="n">
        <x:v>4.4</x:v>
      </x:c>
      <x:c r="S309" s="12" t="n">
        <x:v>4.87</x:v>
      </x:c>
      <x:c r="T309" s="12" t="n">
        <x:v>4.55</x:v>
      </x:c>
      <x:c r="U309" s="12" t="n">
        <x:v>4.2</x:v>
      </x:c>
      <x:c r="V309" s="12" t="n">
        <x:v>4.15</x:v>
      </x:c>
      <x:c r="W309" s="12" t="n">
        <x:f>ROUND((Q309*0.24)+(R309*0.22)+(S309*0.16)+(T309*0.18)+(U309*0.10)+(V309*0.10),2)</x:f>
        <x:v>4.52</x:v>
      </x:c>
      <x:c r="X309" t="str">
        <x:f>IF(W309&gt;=3.55,"Pass","Fail")</x:f>
        <x:v>Pass</x:v>
      </x:c>
      <x:c r="Y309" t="str">
        <x:v>none</x:v>
      </x:c>
      <x:c r="Z309" t="str">
        <x:v>Review note: Good continuity from frame to frame. The cotton rag makes visual contact with the workpiece and the motion does not feel invented. The clip needs a verifier pass before it can enter the training pool. For this woodworking example, the main judgment is still whether the viewer can copy the motion.</x:v>
      </x:c>
      <x:c r="AA309" t="str">
        <x:v>No immediate re-run; keep as candidate and verify with a second rater.</x:v>
      </x:c>
      <x:c r="AB309" t="str">
        <x:v>High</x:v>
      </x:c>
      <x:c r="AC309" t="str"/>
      <x:c r="AD309" t="str">
        <x:v>Planning dataset only; scores are plausible placeholders, not vendor claims.</x:v>
      </x:c>
    </x:row>
    <x:row r="310">
      <x:c r="A310" t="str">
        <x:v>S052-Runway-REF</x:v>
      </x:c>
      <x:c r="B310" t="str">
        <x:v>S052</x:v>
      </x:c>
      <x:c r="C310" t="str">
        <x:v>Woodworking</x:v>
      </x:c>
      <x:c r="D310" t="str">
        <x:v>finishing</x:v>
      </x:c>
      <x:c r="E310" t="str">
        <x:v>wiping</x:v>
      </x:c>
      <x:c r="F310" t="n">
        <x:v>2</x:v>
      </x:c>
      <x:c r="G310" t="str">
        <x:v>wipe excess stain off a board with a clean rag</x:v>
      </x:c>
      <x:c r="H310" t="str">
        <x:v>cotton rag</x:v>
      </x:c>
      <x:c r="I310" t="str">
        <x:v>stained wood surface</x:v>
      </x:c>
      <x:c r="J310" t="str">
        <x:v>Runway Gen-4.5</x:v>
      </x:c>
      <x:c r="K310" t="str">
        <x:v>Reference-Guided</x:v>
      </x:c>
      <x:c r="L310" t="str">
        <x:v>Adds reference-tool/image cue and brand-agnostic visual constraints.</x:v>
      </x:c>
      <x:c r="M310" t="str">
        <x:v>Close-up realistic instructional DIY video: wipe excess stain off a board with a clean rag. Show cotton rag working on stained wood surface. Hands visible, stable camera, no text overlay, neutral shop lighting. Use a generic, brand-agnostic visual reference for the cotton rag; preserve the tool shape and scale; the cotton rag must remain in contact with stained wood surface during the key motion.</x:v>
      </x:c>
      <x:c r="N310" s="14" t="n">
        <x:v>5</x:v>
      </x:c>
      <x:c r="O310" s="14" t="n">
        <x:v>100522</x:v>
      </x:c>
      <x:c r="P310" t="str">
        <x:v>R-B</x:v>
      </x:c>
      <x:c r="Q310" s="12" t="n">
        <x:v>4.41</x:v>
      </x:c>
      <x:c r="R310" s="12" t="n">
        <x:v>4.09</x:v>
      </x:c>
      <x:c r="S310" s="12" t="n">
        <x:v>4.34</x:v>
      </x:c>
      <x:c r="T310" s="12" t="n">
        <x:v>3.93</x:v>
      </x:c>
      <x:c r="U310" s="12" t="n">
        <x:v>4.15</x:v>
      </x:c>
      <x:c r="V310" s="12" t="n">
        <x:v>3.94</x:v>
      </x:c>
      <x:c r="W310" s="12" t="n">
        <x:f>ROUND((Q310*0.24)+(R310*0.22)+(S310*0.16)+(T310*0.18)+(U310*0.10)+(V310*0.10),2)</x:f>
        <x:v>4.17</x:v>
      </x:c>
      <x:c r="X310" t="str">
        <x:f>IF(W310&gt;=3.55,"Pass","Fail")</x:f>
        <x:v>Pass</x:v>
      </x:c>
      <x:c r="Y310" t="str">
        <x:v>minor continuity jump</x:v>
      </x:c>
      <x:c r="Z310" t="str">
        <x:v>QA note: This one would probably pass a quick review. The cotton rag stays believable, the start and end states are easy to read, and the only nit is that short clip compresses the final step. The mistake appears late, so a simple thumbnail review would probably miss it. For this woodworking example, the main judgment is still whether the viewer can copy the motion.</x:v>
      </x:c>
      <x:c r="AA310" t="str">
        <x:v>Add a one-sentence end-state requirement: viewer must see the completed wiping result for one full second.</x:v>
      </x:c>
      <x:c r="AB310" t="str">
        <x:v>Medium</x:v>
      </x:c>
      <x:c r="AC310" t="str"/>
      <x:c r="AD310" t="str">
        <x:v>Simulated pilot row for planning; replace with blinded ratings after generating actual clips.</x:v>
      </x:c>
    </x:row>
    <x:row r="311">
      <x:c r="A311" t="str">
        <x:v>S052-Kling-REF</x:v>
      </x:c>
      <x:c r="B311" t="str">
        <x:v>S052</x:v>
      </x:c>
      <x:c r="C311" t="str">
        <x:v>Woodworking</x:v>
      </x:c>
      <x:c r="D311" t="str">
        <x:v>finishing</x:v>
      </x:c>
      <x:c r="E311" t="str">
        <x:v>wiping</x:v>
      </x:c>
      <x:c r="F311" t="n">
        <x:v>2</x:v>
      </x:c>
      <x:c r="G311" t="str">
        <x:v>wipe excess stain off a board with a clean rag</x:v>
      </x:c>
      <x:c r="H311" t="str">
        <x:v>cotton rag</x:v>
      </x:c>
      <x:c r="I311" t="str">
        <x:v>stained wood surface</x:v>
      </x:c>
      <x:c r="J311" t="str">
        <x:v>Kling v3.0 (Replicate)</x:v>
      </x:c>
      <x:c r="K311" t="str">
        <x:v>Reference-Guided</x:v>
      </x:c>
      <x:c r="L311" t="str">
        <x:v>Adds reference-tool/image cue and brand-agnostic visual constraints.</x:v>
      </x:c>
      <x:c r="M311" t="str">
        <x:v>Close-up realistic instructional DIY video: wipe excess stain off a board with a clean rag. Show cotton rag working on stained wood surface. Hands visible, stable camera, no text overlay, neutral shop lighting. Use a generic, brand-agnostic visual reference for the cotton rag; preserve the tool shape and scale; the cotton rag must remain in contact with stained wood surface during the key motion.</x:v>
      </x:c>
      <x:c r="N311" s="14" t="n">
        <x:v>10</x:v>
      </x:c>
      <x:c r="O311" s="14" t="n">
        <x:v>100523</x:v>
      </x:c>
      <x:c r="P311" t="str">
        <x:v>R-B</x:v>
      </x:c>
      <x:c r="Q311" s="12" t="n">
        <x:v>3.98</x:v>
      </x:c>
      <x:c r="R311" s="12" t="n">
        <x:v>4.01</x:v>
      </x:c>
      <x:c r="S311" s="12" t="n">
        <x:v>4.03</x:v>
      </x:c>
      <x:c r="T311" s="12" t="n">
        <x:v>4.21</x:v>
      </x:c>
      <x:c r="U311" s="12" t="n">
        <x:v>3.74</x:v>
      </x:c>
      <x:c r="V311" s="12" t="n">
        <x:v>4.03</x:v>
      </x:c>
      <x:c r="W311" s="12" t="n">
        <x:f>ROUND((Q311*0.24)+(R311*0.22)+(S311*0.16)+(T311*0.18)+(U311*0.10)+(V311*0.10),2)</x:f>
        <x:v>4.02</x:v>
      </x:c>
      <x:c r="X311" t="str">
        <x:f>IF(W311&gt;=3.55,"Pass","Fail")</x:f>
        <x:v>Pass</x:v>
      </x:c>
      <x:c r="Y311" t="str">
        <x:v>motion slightly compressed</x:v>
      </x:c>
      <x:c r="Z311" t="str">
        <x:v>QA note: The intention is clear, especially if you already know the step. A novice might miss the key detail because this issue appears right where the action should be most explicit: motion slightly compressed. I would keep the same camera angle but ask for a tighter view of the contact point. For this woodworking example, the main judgment is still whether the viewer can copy the motion.</x:v>
      </x:c>
      <x:c r="AA311" t="str">
        <x:v>Add a one-sentence end-state requirement: viewer must see the completed wiping result for one full second.</x:v>
      </x:c>
      <x:c r="AB311" t="str">
        <x:v>High</x:v>
      </x:c>
      <x:c r="AC311" t="str"/>
      <x:c r="AD311" t="str">
        <x:v>Planning dataset only; scores are plausible placeholders, not vendor claims.</x:v>
      </x:c>
    </x:row>
    <x:row r="312">
      <x:c r="A312" t="str">
        <x:v>S052-Pika-REF</x:v>
      </x:c>
      <x:c r="B312" t="str">
        <x:v>S052</x:v>
      </x:c>
      <x:c r="C312" t="str">
        <x:v>Woodworking</x:v>
      </x:c>
      <x:c r="D312" t="str">
        <x:v>finishing</x:v>
      </x:c>
      <x:c r="E312" t="str">
        <x:v>wiping</x:v>
      </x:c>
      <x:c r="F312" t="n">
        <x:v>2</x:v>
      </x:c>
      <x:c r="G312" t="str">
        <x:v>wipe excess stain off a board with a clean rag</x:v>
      </x:c>
      <x:c r="H312" t="str">
        <x:v>cotton rag</x:v>
      </x:c>
      <x:c r="I312" t="str">
        <x:v>stained wood surface</x:v>
      </x:c>
      <x:c r="J312" t="str">
        <x:v>Pika 2.2</x:v>
      </x:c>
      <x:c r="K312" t="str">
        <x:v>Reference-Guided</x:v>
      </x:c>
      <x:c r="L312" t="str">
        <x:v>Adds reference-tool/image cue and brand-agnostic visual constraints.</x:v>
      </x:c>
      <x:c r="M312" t="str">
        <x:v>Close-up realistic instructional DIY video: wipe excess stain off a board with a clean rag. Show cotton rag working on stained wood surface. Hands visible, stable camera, no text overlay, neutral shop lighting. Use a generic, brand-agnostic visual reference for the cotton rag; preserve the tool shape and scale; the cotton rag must remain in contact with stained wood surface during the key motion.</x:v>
      </x:c>
      <x:c r="N312" s="14" t="n">
        <x:v>5</x:v>
      </x:c>
      <x:c r="O312" s="14" t="n">
        <x:v>100524</x:v>
      </x:c>
      <x:c r="P312" t="str">
        <x:v>R-C</x:v>
      </x:c>
      <x:c r="Q312" s="12" t="n">
        <x:v>3.58</x:v>
      </x:c>
      <x:c r="R312" s="12" t="n">
        <x:v>3.71</x:v>
      </x:c>
      <x:c r="S312" s="12" t="n">
        <x:v>3.47</x:v>
      </x:c>
      <x:c r="T312" s="12" t="n">
        <x:v>3.66</x:v>
      </x:c>
      <x:c r="U312" s="12" t="n">
        <x:v>3.45</x:v>
      </x:c>
      <x:c r="V312" s="12" t="n">
        <x:v>3.7</x:v>
      </x:c>
      <x:c r="W312" s="12" t="n">
        <x:f>ROUND((Q312*0.24)+(R312*0.22)+(S312*0.16)+(T312*0.18)+(U312*0.10)+(V312*0.10),2)</x:f>
        <x:v>3.6</x:v>
      </x:c>
      <x:c r="X312" t="str">
        <x:f>IF(W312&gt;=3.55,"Pass","Fail")</x:f>
        <x:v>Pass</x:v>
      </x:c>
      <x:c r="Y312" t="str">
        <x:v>action starts too late</x:v>
      </x:c>
      <x:c r="Z312" t="str">
        <x:v>Review note: I would keep this as a rough candidate. It communicates the step, although the failure mode makes it weaker than a real sourced clip: action starts too late. This reads better as a teaser than as an instructional clip. For this woodworking example, the main judgment is still whether the viewer can copy the motion.</x:v>
      </x:c>
      <x:c r="AA312" t="str">
        <x:v>Add a one-sentence end-state requirement: viewer must see the completed wiping result for one full second.</x:v>
      </x:c>
      <x:c r="AB312" t="str">
        <x:v>Medium</x:v>
      </x:c>
      <x:c r="AC312" t="str"/>
      <x:c r="AD312" t="str">
        <x:v>Synthetic benchmark entry; generated clip URL should be filled after API run.</x:v>
      </x:c>
    </x:row>
    <x:row r="313">
      <x:c r="A313" t="str">
        <x:v>S052-Vidu-REF</x:v>
      </x:c>
      <x:c r="B313" t="str">
        <x:v>S052</x:v>
      </x:c>
      <x:c r="C313" t="str">
        <x:v>Woodworking</x:v>
      </x:c>
      <x:c r="D313" t="str">
        <x:v>finishing</x:v>
      </x:c>
      <x:c r="E313" t="str">
        <x:v>wiping</x:v>
      </x:c>
      <x:c r="F313" t="n">
        <x:v>2</x:v>
      </x:c>
      <x:c r="G313" t="str">
        <x:v>wipe excess stain off a board with a clean rag</x:v>
      </x:c>
      <x:c r="H313" t="str">
        <x:v>cotton rag</x:v>
      </x:c>
      <x:c r="I313" t="str">
        <x:v>stained wood surface</x:v>
      </x:c>
      <x:c r="J313" t="str">
        <x:v>Vidu 2.0</x:v>
      </x:c>
      <x:c r="K313" t="str">
        <x:v>Reference-Guided</x:v>
      </x:c>
      <x:c r="L313" t="str">
        <x:v>Adds reference-tool/image cue and brand-agnostic visual constraints.</x:v>
      </x:c>
      <x:c r="M313" t="str">
        <x:v>Close-up realistic instructional DIY video: wipe excess stain off a board with a clean rag. Show cotton rag working on stained wood surface. Hands visible, stable camera, no text overlay, neutral shop lighting. Use a generic, brand-agnostic visual reference for the cotton rag; preserve the tool shape and scale; the cotton rag must remain in contact with stained wood surface during the key motion.</x:v>
      </x:c>
      <x:c r="N313" s="14" t="n">
        <x:v>5</x:v>
      </x:c>
      <x:c r="O313" s="14" t="n">
        <x:v>100525</x:v>
      </x:c>
      <x:c r="P313" t="str">
        <x:v>R-B</x:v>
      </x:c>
      <x:c r="Q313" s="12" t="n">
        <x:v>3.73</x:v>
      </x:c>
      <x:c r="R313" s="12" t="n">
        <x:v>3.57</x:v>
      </x:c>
      <x:c r="S313" s="12" t="n">
        <x:v>3.33</x:v>
      </x:c>
      <x:c r="T313" s="12" t="n">
        <x:v>3.97</x:v>
      </x:c>
      <x:c r="U313" s="12" t="n">
        <x:v>3.54</x:v>
      </x:c>
      <x:c r="V313" s="12" t="n">
        <x:v>2.99</x:v>
      </x:c>
      <x:c r="W313" s="12" t="n">
        <x:f>ROUND((Q313*0.24)+(R313*0.22)+(S313*0.16)+(T313*0.18)+(U313*0.10)+(V313*0.10),2)</x:f>
        <x:v>3.58</x:v>
      </x:c>
      <x:c r="X313" t="str">
        <x:f>IF(W313&gt;=3.55,"Pass","Fail")</x:f>
        <x:v>Pass</x:v>
      </x:c>
      <x:c r="Y313" t="str">
        <x:v>tool floats near object</x:v>
      </x:c>
      <x:c r="Z313" t="str">
        <x:v>Human check: The clip has the right ingredients but not quite the right mechanics. It needs a tighter prompt about grip, contact, and the end position. I marked it down for the key moment rather than the opening setup. For this woodworking example, the main judgment is still whether the viewer can copy the motion.</x:v>
      </x:c>
      <x:c r="AA313" t="str">
        <x:v>Add a one-sentence end-state requirement: viewer must see the completed wiping result for one full second.</x:v>
      </x:c>
      <x:c r="AB313" t="str">
        <x:v>Medium</x:v>
      </x:c>
      <x:c r="AC313" t="str"/>
      <x:c r="AD313" t="str">
        <x:v>Synthetic benchmark entry; generated clip URL should be filled after API run.</x:v>
      </x:c>
    </x:row>
    <x:row r="314">
      <x:c r="A314" t="str">
        <x:v>S053-Veo-SEQ</x:v>
      </x:c>
      <x:c r="B314" t="str">
        <x:v>S053</x:v>
      </x:c>
      <x:c r="C314" t="str">
        <x:v>Woodworking</x:v>
      </x:c>
      <x:c r="D314" t="str">
        <x:v>safety</x:v>
      </x:c>
      <x:c r="E314" t="str">
        <x:v>positioning</x:v>
      </x:c>
      <x:c r="F314" t="n">
        <x:v>4</x:v>
      </x:c>
      <x:c r="G314" t="str">
        <x:v>position a push stick before feeding a narrow strip</x:v>
      </x:c>
      <x:c r="H314" t="str">
        <x:v>push stick</x:v>
      </x:c>
      <x:c r="I314" t="str">
        <x:v>table saw fence, narrow strip</x:v>
      </x:c>
      <x:c r="J314" t="str">
        <x:v>Veo 3.1</x:v>
      </x:c>
      <x:c r="K314" t="str">
        <x:v>Sequential Context</x:v>
      </x:c>
      <x:c r="L314" t="str">
        <x:v>Provides previous and next step for continuity without asking for them to appear.</x:v>
      </x:c>
      <x:c r="M314" t="str">
        <x:v>Close-up realistic instructional DIY video: position a push stick before feeding a narrow strip. Show push stick working on table saw fence, narrow strip. Hands visible, stable camera, no text overlay, neutral shop lighting. This is the middle clip in a sequence. Previous step has already prepared the work area; next step will verify the result. Keep the same workpiece, camera distance, and hand orientation.</x:v>
      </x:c>
      <x:c r="N314" s="14" t="n">
        <x:v>8</x:v>
      </x:c>
      <x:c r="O314" s="14" t="n">
        <x:v>100530</x:v>
      </x:c>
      <x:c r="P314" t="str">
        <x:v>R-D</x:v>
      </x:c>
      <x:c r="Q314" s="12" t="n">
        <x:v>4.83</x:v>
      </x:c>
      <x:c r="R314" s="12" t="n">
        <x:v>4.15</x:v>
      </x:c>
      <x:c r="S314" s="12" t="n">
        <x:v>3.75</x:v>
      </x:c>
      <x:c r="T314" s="12" t="n">
        <x:v>4.54</x:v>
      </x:c>
      <x:c r="U314" s="12" t="n">
        <x:v>4.5</x:v>
      </x:c>
      <x:c r="V314" s="12" t="n">
        <x:v>3.78</x:v>
      </x:c>
      <x:c r="W314" s="12" t="n">
        <x:f>ROUND((Q314*0.24)+(R314*0.22)+(S314*0.16)+(T314*0.18)+(U314*0.10)+(V314*0.10),2)</x:f>
        <x:v>4.32</x:v>
      </x:c>
      <x:c r="X314" t="str">
        <x:f>IF(W314&gt;=3.55,"Pass","Fail")</x:f>
        <x:v>Pass</x:v>
      </x:c>
      <x:c r="Y314" t="str">
        <x:v>endpoint not visible</x:v>
      </x:c>
      <x:c r="Z314" t="str">
        <x:v>Human check: Best part is the pacing: it gives enough time to understand positioning without turning into a beauty shot. Minor issue: over-polished camera move. The issue is subtle visually, but it matters because the clip is supposed to teach the technique. Continuity is useful here, but it cannot replace showing the actual contact point.</x:v>
      </x:c>
      <x:c r="AA314" t="str">
        <x:v>Move safety language earlier in the prompt and remove cinematic camera instructions.</x:v>
      </x:c>
      <x:c r="AB314" t="str">
        <x:v>Medium</x:v>
      </x:c>
      <x:c r="AC314" t="str"/>
      <x:c r="AD314" t="str">
        <x:v>Mock rater record for experiment design; audit against real video outputs before publication.</x:v>
      </x:c>
    </x:row>
    <x:row r="315">
      <x:c r="A315" t="str">
        <x:v>S053-Sora-SEQ</x:v>
      </x:c>
      <x:c r="B315" t="str">
        <x:v>S053</x:v>
      </x:c>
      <x:c r="C315" t="str">
        <x:v>Woodworking</x:v>
      </x:c>
      <x:c r="D315" t="str">
        <x:v>safety</x:v>
      </x:c>
      <x:c r="E315" t="str">
        <x:v>positioning</x:v>
      </x:c>
      <x:c r="F315" t="n">
        <x:v>4</x:v>
      </x:c>
      <x:c r="G315" t="str">
        <x:v>position a push stick before feeding a narrow strip</x:v>
      </x:c>
      <x:c r="H315" t="str">
        <x:v>push stick</x:v>
      </x:c>
      <x:c r="I315" t="str">
        <x:v>table saw fence, narrow strip</x:v>
      </x:c>
      <x:c r="J315" t="str">
        <x:v>Sora 2 Pro</x:v>
      </x:c>
      <x:c r="K315" t="str">
        <x:v>Sequential Context</x:v>
      </x:c>
      <x:c r="L315" t="str">
        <x:v>Provides previous and next step for continuity without asking for them to appear.</x:v>
      </x:c>
      <x:c r="M315" t="str">
        <x:v>Close-up realistic instructional DIY video: position a push stick before feeding a narrow strip. Show push stick working on table saw fence, narrow strip. Hands visible, stable camera, no text overlay, neutral shop lighting. This is the middle clip in a sequence. Previous step has already prepared the work area; next step will verify the result. Keep the same workpiece, camera distance, and hand orientation.</x:v>
      </x:c>
      <x:c r="N315" s="14" t="n">
        <x:v>8</x:v>
      </x:c>
      <x:c r="O315" s="14" t="n">
        <x:v>100531</x:v>
      </x:c>
      <x:c r="P315" t="str">
        <x:v>R-C</x:v>
      </x:c>
      <x:c r="Q315" s="12" t="n">
        <x:v>4.22</x:v>
      </x:c>
      <x:c r="R315" s="12" t="n">
        <x:v>4.36</x:v>
      </x:c>
      <x:c r="S315" s="12" t="n">
        <x:v>4.13</x:v>
      </x:c>
      <x:c r="T315" s="12" t="n">
        <x:v>3.26</x:v>
      </x:c>
      <x:c r="U315" s="12" t="n">
        <x:v>3.92</x:v>
      </x:c>
      <x:c r="V315" s="12" t="n">
        <x:v>3.88</x:v>
      </x:c>
      <x:c r="W315" s="12" t="n">
        <x:f>ROUND((Q315*0.24)+(R315*0.22)+(S315*0.16)+(T315*0.18)+(U315*0.10)+(V315*0.10),2)</x:f>
        <x:v>4</x:v>
      </x:c>
      <x:c r="X315" t="str">
        <x:f>IF(W315&gt;=3.55,"Pass","Fail")</x:f>
        <x:v>Pass</x:v>
      </x:c>
      <x:c r="Y315" t="str">
        <x:v>motion slightly compressed</x:v>
      </x:c>
      <x:c r="Z315" t="str">
        <x:v>Clip review: Usable, but I would not show it without review. The push stick is recognizable, yet the exact contact point is hard to see when the hand crosses the frame. The tool silhouette is acceptable; the mechanics are the weak part. Continuity is useful here, but it cannot replace showing the actual contact point.</x:v>
      </x:c>
      <x:c r="AA315" t="str">
        <x:v>Add a one-sentence end-state requirement: viewer must see the completed positioning result for one full second.</x:v>
      </x:c>
      <x:c r="AB315" t="str">
        <x:v>Medium-High</x:v>
      </x:c>
      <x:c r="AC315" t="str"/>
      <x:c r="AD315" t="str">
        <x:v>Mock rater record for experiment design; audit against real video outputs before publication.</x:v>
      </x:c>
    </x:row>
    <x:row r="316">
      <x:c r="A316" t="str">
        <x:v>S053-Runway-SEQ</x:v>
      </x:c>
      <x:c r="B316" t="str">
        <x:v>S053</x:v>
      </x:c>
      <x:c r="C316" t="str">
        <x:v>Woodworking</x:v>
      </x:c>
      <x:c r="D316" t="str">
        <x:v>safety</x:v>
      </x:c>
      <x:c r="E316" t="str">
        <x:v>positioning</x:v>
      </x:c>
      <x:c r="F316" t="n">
        <x:v>4</x:v>
      </x:c>
      <x:c r="G316" t="str">
        <x:v>position a push stick before feeding a narrow strip</x:v>
      </x:c>
      <x:c r="H316" t="str">
        <x:v>push stick</x:v>
      </x:c>
      <x:c r="I316" t="str">
        <x:v>table saw fence, narrow strip</x:v>
      </x:c>
      <x:c r="J316" t="str">
        <x:v>Runway Gen-4.5</x:v>
      </x:c>
      <x:c r="K316" t="str">
        <x:v>Sequential Context</x:v>
      </x:c>
      <x:c r="L316" t="str">
        <x:v>Provides previous and next step for continuity without asking for them to appear.</x:v>
      </x:c>
      <x:c r="M316" t="str">
        <x:v>Close-up realistic instructional DIY video: position a push stick before feeding a narrow strip. Show push stick working on table saw fence, narrow strip. Hands visible, stable camera, no text overlay, neutral shop lighting. This is the middle clip in a sequence. Previous step has already prepared the work area; next step will verify the result. Keep the same workpiece, camera distance, and hand orientation.</x:v>
      </x:c>
      <x:c r="N316" s="14" t="n">
        <x:v>5</x:v>
      </x:c>
      <x:c r="O316" s="14" t="n">
        <x:v>100532</x:v>
      </x:c>
      <x:c r="P316" t="str">
        <x:v>R-E</x:v>
      </x:c>
      <x:c r="Q316" s="12" t="n">
        <x:v>4.27</x:v>
      </x:c>
      <x:c r="R316" s="12" t="n">
        <x:v>3.35</x:v>
      </x:c>
      <x:c r="S316" s="12" t="n">
        <x:v>3.84</x:v>
      </x:c>
      <x:c r="T316" s="12" t="n">
        <x:v>3.59</x:v>
      </x:c>
      <x:c r="U316" s="12" t="n">
        <x:v>3.85</x:v>
      </x:c>
      <x:c r="V316" s="12" t="n">
        <x:v>3.38</x:v>
      </x:c>
      <x:c r="W316" s="12" t="n">
        <x:f>ROUND((Q316*0.24)+(R316*0.22)+(S316*0.16)+(T316*0.18)+(U316*0.10)+(V316*0.10),2)</x:f>
        <x:v>3.75</x:v>
      </x:c>
      <x:c r="X316" t="str">
        <x:f>IF(W316&gt;=3.55,"Pass","Fail")</x:f>
        <x:v>Pass</x:v>
      </x:c>
      <x:c r="Y316" t="str">
        <x:v>force/torque reads wrong</x:v>
      </x:c>
      <x:c r="Z316" t="str">
        <x:v>QA note: The clip has the right ingredients but not quite the right mechanics. It needs a tighter prompt about grip, contact, and the end position. The issue is subtle visually, but it matters because the clip is supposed to teach the technique. Continuity is useful here, but it cannot replace showing the actual contact point.</x:v>
      </x:c>
      <x:c r="AA316" t="str">
        <x:v>Add a one-sentence end-state requirement: viewer must see the completed positioning result for one full second.</x:v>
      </x:c>
      <x:c r="AB316" t="str">
        <x:v>Medium</x:v>
      </x:c>
      <x:c r="AC316" t="str"/>
      <x:c r="AD316" t="str">
        <x:v>Synthetic benchmark entry; generated clip URL should be filled after API run.</x:v>
      </x:c>
    </x:row>
    <x:row r="317">
      <x:c r="A317" t="str">
        <x:v>S053-Kling-SEQ</x:v>
      </x:c>
      <x:c r="B317" t="str">
        <x:v>S053</x:v>
      </x:c>
      <x:c r="C317" t="str">
        <x:v>Woodworking</x:v>
      </x:c>
      <x:c r="D317" t="str">
        <x:v>safety</x:v>
      </x:c>
      <x:c r="E317" t="str">
        <x:v>positioning</x:v>
      </x:c>
      <x:c r="F317" t="n">
        <x:v>4</x:v>
      </x:c>
      <x:c r="G317" t="str">
        <x:v>position a push stick before feeding a narrow strip</x:v>
      </x:c>
      <x:c r="H317" t="str">
        <x:v>push stick</x:v>
      </x:c>
      <x:c r="I317" t="str">
        <x:v>table saw fence, narrow strip</x:v>
      </x:c>
      <x:c r="J317" t="str">
        <x:v>Kling v3.0 (Replicate)</x:v>
      </x:c>
      <x:c r="K317" t="str">
        <x:v>Sequential Context</x:v>
      </x:c>
      <x:c r="L317" t="str">
        <x:v>Provides previous and next step for continuity without asking for them to appear.</x:v>
      </x:c>
      <x:c r="M317" t="str">
        <x:v>Close-up realistic instructional DIY video: position a push stick before feeding a narrow strip. Show push stick working on table saw fence, narrow strip. Hands visible, stable camera, no text overlay, neutral shop lighting. This is the middle clip in a sequence. Previous step has already prepared the work area; next step will verify the result. Keep the same workpiece, camera distance, and hand orientation.</x:v>
      </x:c>
      <x:c r="N317" s="14" t="n">
        <x:v>10</x:v>
      </x:c>
      <x:c r="O317" s="14" t="n">
        <x:v>100533</x:v>
      </x:c>
      <x:c r="P317" t="str">
        <x:v>R-D</x:v>
      </x:c>
      <x:c r="Q317" s="12" t="n">
        <x:v>3.02</x:v>
      </x:c>
      <x:c r="R317" s="12" t="n">
        <x:v>3.17</x:v>
      </x:c>
      <x:c r="S317" s="12" t="n">
        <x:v>3.09</x:v>
      </x:c>
      <x:c r="T317" s="12" t="n">
        <x:v>4.06</x:v>
      </x:c>
      <x:c r="U317" s="12" t="n">
        <x:v>3.2</x:v>
      </x:c>
      <x:c r="V317" s="12" t="n">
        <x:v>4.19</x:v>
      </x:c>
      <x:c r="W317" s="12" t="n">
        <x:f>ROUND((Q317*0.24)+(R317*0.22)+(S317*0.16)+(T317*0.18)+(U317*0.10)+(V317*0.10),2)</x:f>
        <x:v>3.39</x:v>
      </x:c>
      <x:c r="X317" t="str">
        <x:f>IF(W317&gt;=3.55,"Pass","Fail")</x:f>
        <x:v>Fail</x:v>
      </x:c>
      <x:c r="Y317" t="str">
        <x:v>wrong grip on tool</x:v>
      </x:c>
      <x:c r="Z317" t="str">
        <x:v>Clip review: The generated clip loses the procedure. I would re-run with a reference frame and a stricter Action-Object-Tool prompt. The issue is subtle visually, but it matters because the clip is supposed to teach the technique. Continuity is useful here, but it cannot replace showing the actual contact point.</x:v>
      </x:c>
      <x:c r="AA317" t="str">
        <x:v>Specify the exact contact point and do not allow the hand to cover it.</x:v>
      </x:c>
      <x:c r="AB317" t="str">
        <x:v>High</x:v>
      </x:c>
      <x:c r="AC317" t="str"/>
      <x:c r="AD317" t="str">
        <x:v>Synthetic benchmark entry; generated clip URL should be filled after API run.</x:v>
      </x:c>
    </x:row>
    <x:row r="318">
      <x:c r="A318" t="str">
        <x:v>S053-Pika-SEQ</x:v>
      </x:c>
      <x:c r="B318" t="str">
        <x:v>S053</x:v>
      </x:c>
      <x:c r="C318" t="str">
        <x:v>Woodworking</x:v>
      </x:c>
      <x:c r="D318" t="str">
        <x:v>safety</x:v>
      </x:c>
      <x:c r="E318" t="str">
        <x:v>positioning</x:v>
      </x:c>
      <x:c r="F318" t="n">
        <x:v>4</x:v>
      </x:c>
      <x:c r="G318" t="str">
        <x:v>position a push stick before feeding a narrow strip</x:v>
      </x:c>
      <x:c r="H318" t="str">
        <x:v>push stick</x:v>
      </x:c>
      <x:c r="I318" t="str">
        <x:v>table saw fence, narrow strip</x:v>
      </x:c>
      <x:c r="J318" t="str">
        <x:v>Pika 2.2</x:v>
      </x:c>
      <x:c r="K318" t="str">
        <x:v>Sequential Context</x:v>
      </x:c>
      <x:c r="L318" t="str">
        <x:v>Provides previous and next step for continuity without asking for them to appear.</x:v>
      </x:c>
      <x:c r="M318" t="str">
        <x:v>Close-up realistic instructional DIY video: position a push stick before feeding a narrow strip. Show push stick working on table saw fence, narrow strip. Hands visible, stable camera, no text overlay, neutral shop lighting. This is the middle clip in a sequence. Previous step has already prepared the work area; next step will verify the result. Keep the same workpiece, camera distance, and hand orientation.</x:v>
      </x:c>
      <x:c r="N318" s="14" t="n">
        <x:v>5</x:v>
      </x:c>
      <x:c r="O318" s="14" t="n">
        <x:v>100534</x:v>
      </x:c>
      <x:c r="P318" t="str">
        <x:v>R-C</x:v>
      </x:c>
      <x:c r="Q318" s="12" t="n">
        <x:v>3.01</x:v>
      </x:c>
      <x:c r="R318" s="12" t="n">
        <x:v>3.26</x:v>
      </x:c>
      <x:c r="S318" s="12" t="n">
        <x:v>3.45</x:v>
      </x:c>
      <x:c r="T318" s="12" t="n">
        <x:v>3.59</x:v>
      </x:c>
      <x:c r="U318" s="12" t="n">
        <x:v>3.76</x:v>
      </x:c>
      <x:c r="V318" s="12" t="n">
        <x:v>3.66</x:v>
      </x:c>
      <x:c r="W318" s="12" t="n">
        <x:f>ROUND((Q318*0.24)+(R318*0.22)+(S318*0.16)+(T318*0.18)+(U318*0.10)+(V318*0.10),2)</x:f>
        <x:v>3.38</x:v>
      </x:c>
      <x:c r="X318" t="str">
        <x:f>IF(W318&gt;=3.55,"Pass","Fail")</x:f>
        <x:v>Fail</x:v>
      </x:c>
      <x:c r="Y318" t="str">
        <x:v>action starts too late</x:v>
      </x:c>
      <x:c r="Z318" t="str">
        <x:v>Clip review: The clip looks like generic DIY stock footage rather than this specific step. The main problem is action starts too late, and the end state is not verifiable. The issue is subtle visually, but it matters because the clip is supposed to teach the technique. Continuity is useful here, but it cannot replace showing the actual contact point.</x:v>
      </x:c>
      <x:c r="AA318" t="str">
        <x:v>Add a one-sentence end-state requirement: viewer must see the completed positioning result for one full second.</x:v>
      </x:c>
      <x:c r="AB318" t="str">
        <x:v>High</x:v>
      </x:c>
      <x:c r="AC318" t="str"/>
      <x:c r="AD318" t="str">
        <x:v>Synthetic benchmark entry; generated clip URL should be filled after API run.</x:v>
      </x:c>
    </x:row>
    <x:row r="319">
      <x:c r="A319" t="str">
        <x:v>S053-Vidu-SEQ</x:v>
      </x:c>
      <x:c r="B319" t="str">
        <x:v>S053</x:v>
      </x:c>
      <x:c r="C319" t="str">
        <x:v>Woodworking</x:v>
      </x:c>
      <x:c r="D319" t="str">
        <x:v>safety</x:v>
      </x:c>
      <x:c r="E319" t="str">
        <x:v>positioning</x:v>
      </x:c>
      <x:c r="F319" t="n">
        <x:v>4</x:v>
      </x:c>
      <x:c r="G319" t="str">
        <x:v>position a push stick before feeding a narrow strip</x:v>
      </x:c>
      <x:c r="H319" t="str">
        <x:v>push stick</x:v>
      </x:c>
      <x:c r="I319" t="str">
        <x:v>table saw fence, narrow strip</x:v>
      </x:c>
      <x:c r="J319" t="str">
        <x:v>Vidu 2.0</x:v>
      </x:c>
      <x:c r="K319" t="str">
        <x:v>Sequential Context</x:v>
      </x:c>
      <x:c r="L319" t="str">
        <x:v>Provides previous and next step for continuity without asking for them to appear.</x:v>
      </x:c>
      <x:c r="M319" t="str">
        <x:v>Close-up realistic instructional DIY video: position a push stick before feeding a narrow strip. Show push stick working on table saw fence, narrow strip. Hands visible, stable camera, no text overlay, neutral shop lighting. This is the middle clip in a sequence. Previous step has already prepared the work area; next step will verify the result. Keep the same workpiece, camera distance, and hand orientation.</x:v>
      </x:c>
      <x:c r="N319" s="14" t="n">
        <x:v>5</x:v>
      </x:c>
      <x:c r="O319" s="14" t="n">
        <x:v>100535</x:v>
      </x:c>
      <x:c r="P319" t="str">
        <x:v>R-C</x:v>
      </x:c>
      <x:c r="Q319" s="12" t="n">
        <x:v>2.25</x:v>
      </x:c>
      <x:c r="R319" s="12" t="n">
        <x:v>3.1</x:v>
      </x:c>
      <x:c r="S319" s="12" t="n">
        <x:v>3.35</x:v>
      </x:c>
      <x:c r="T319" s="12" t="n">
        <x:v>3</x:v>
      </x:c>
      <x:c r="U319" s="12" t="n">
        <x:v>3.47</x:v>
      </x:c>
      <x:c r="V319" s="12" t="n">
        <x:v>3.2</x:v>
      </x:c>
      <x:c r="W319" s="12" t="n">
        <x:f>ROUND((Q319*0.24)+(R319*0.22)+(S319*0.16)+(T319*0.18)+(U319*0.10)+(V319*0.10),2)</x:f>
        <x:v>2.97</x:v>
      </x:c>
      <x:c r="X319" t="str">
        <x:f>IF(W319&gt;=3.55,"Pass","Fail")</x:f>
        <x:v>Fail</x:v>
      </x:c>
      <x:c r="Y319" t="str">
        <x:v>missing contact point</x:v>
      </x:c>
      <x:c r="Z319" t="str">
        <x:v>Rater note: This should fail the instructional bar. The model gestures toward the task, but the failure mode prevents a learner from trusting the technique: missing contact point. On a small preview it might pass, but full-screen review exposes the issue. Continuity is useful here, but it cannot replace showing the actual contact point.</x:v>
      </x:c>
      <x:c r="AA319" t="str">
        <x:v>Specify the exact contact point and do not allow the hand to cover it.</x:v>
      </x:c>
      <x:c r="AB319" t="str">
        <x:v>Low</x:v>
      </x:c>
      <x:c r="AC319" t="str"/>
      <x:c r="AD319" t="str">
        <x:v>Simulated pilot row for planning; replace with blinded ratings after generating actual clips.</x:v>
      </x:c>
    </x:row>
    <x:row r="320">
      <x:c r="A320" t="str">
        <x:v>S054-Veo-CON</x:v>
      </x:c>
      <x:c r="B320" t="str">
        <x:v>S054</x:v>
      </x:c>
      <x:c r="C320" t="str">
        <x:v>Woodworking</x:v>
      </x:c>
      <x:c r="D320" t="str">
        <x:v>hardware</x:v>
      </x:c>
      <x:c r="E320" t="str">
        <x:v>marking</x:v>
      </x:c>
      <x:c r="F320" t="n">
        <x:v>2</x:v>
      </x:c>
      <x:c r="G320" t="str">
        <x:v>mark screw holes through a cabinet hinge plate</x:v>
      </x:c>
      <x:c r="H320" t="str">
        <x:v>pencil</x:v>
      </x:c>
      <x:c r="I320" t="str">
        <x:v>hinge plate, cabinet door</x:v>
      </x:c>
      <x:c r="J320" t="str">
        <x:v>Veo 3.1</x:v>
      </x:c>
      <x:c r="K320" t="str">
        <x:v>Constraint-Rich Negative Prompt</x:v>
      </x:c>
      <x:c r="L320" t="str">
        <x:v>Adds concise no-floating-tools/no-extra-objects/no-morphing constraints.</x:v>
      </x:c>
      <x:c r="M320" t="str">
        <x:v>Close-up realistic instructional DIY video: mark screw holes through a cabinet hinge plate. Show pencil working on hinge plate, cabinet door. Hands visible, stable camera, no text overlay, neutral shop lighting. Constraints: no floating tools, no extra tools, no morphing hands, no reversed motion, no impossible deformation, no dramatic camera spin. Keep the full action legible.</x:v>
      </x:c>
      <x:c r="N320" s="14" t="n">
        <x:v>8</x:v>
      </x:c>
      <x:c r="O320" s="14" t="n">
        <x:v>100540</x:v>
      </x:c>
      <x:c r="P320" t="str">
        <x:v>R-D</x:v>
      </x:c>
      <x:c r="Q320" s="12" t="n">
        <x:v>4.6</x:v>
      </x:c>
      <x:c r="R320" s="12" t="n">
        <x:v>4.73</x:v>
      </x:c>
      <x:c r="S320" s="12" t="n">
        <x:v>4.66</x:v>
      </x:c>
      <x:c r="T320" s="12" t="n">
        <x:v>4.24</x:v>
      </x:c>
      <x:c r="U320" s="12" t="n">
        <x:v>4.06</x:v>
      </x:c>
      <x:c r="V320" s="12" t="n">
        <x:v>4.42</x:v>
      </x:c>
      <x:c r="W320" s="12" t="n">
        <x:f>ROUND((Q320*0.24)+(R320*0.22)+(S320*0.16)+(T320*0.18)+(U320*0.10)+(V320*0.10),2)</x:f>
        <x:v>4.5</x:v>
      </x:c>
      <x:c r="X320" t="str">
        <x:f>IF(W320&gt;=3.55,"Pass","Fail")</x:f>
        <x:v>Pass</x:v>
      </x:c>
      <x:c r="Y320" t="str">
        <x:v>none</x:v>
      </x:c>
      <x:c r="Z320" t="str">
        <x:v>Review note: Best part is the pacing: it gives enough time to understand marking without turning into a beauty shot. Minor issue: over-polished camera move. I marked it down for the key moment rather than the opening setup. The negative constraints help, but they do not fully solve the mechanics.</x:v>
      </x:c>
      <x:c r="AA320" t="str">
        <x:v>No immediate re-run; keep as candidate and verify with a second rater.</x:v>
      </x:c>
      <x:c r="AB320" t="str">
        <x:v>Medium-High</x:v>
      </x:c>
      <x:c r="AC320" t="str"/>
      <x:c r="AD320" t="str">
        <x:v>Synthetic benchmark entry; generated clip URL should be filled after API run.</x:v>
      </x:c>
    </x:row>
    <x:row r="321">
      <x:c r="A321" t="str">
        <x:v>S054-Sora-CON</x:v>
      </x:c>
      <x:c r="B321" t="str">
        <x:v>S054</x:v>
      </x:c>
      <x:c r="C321" t="str">
        <x:v>Woodworking</x:v>
      </x:c>
      <x:c r="D321" t="str">
        <x:v>hardware</x:v>
      </x:c>
      <x:c r="E321" t="str">
        <x:v>marking</x:v>
      </x:c>
      <x:c r="F321" t="n">
        <x:v>2</x:v>
      </x:c>
      <x:c r="G321" t="str">
        <x:v>mark screw holes through a cabinet hinge plate</x:v>
      </x:c>
      <x:c r="H321" t="str">
        <x:v>pencil</x:v>
      </x:c>
      <x:c r="I321" t="str">
        <x:v>hinge plate, cabinet door</x:v>
      </x:c>
      <x:c r="J321" t="str">
        <x:v>Sora 2 Pro</x:v>
      </x:c>
      <x:c r="K321" t="str">
        <x:v>Constraint-Rich Negative Prompt</x:v>
      </x:c>
      <x:c r="L321" t="str">
        <x:v>Adds concise no-floating-tools/no-extra-objects/no-morphing constraints.</x:v>
      </x:c>
      <x:c r="M321" t="str">
        <x:v>Close-up realistic instructional DIY video: mark screw holes through a cabinet hinge plate. Show pencil working on hinge plate, cabinet door. Hands visible, stable camera, no text overlay, neutral shop lighting. Constraints: no floating tools, no extra tools, no morphing hands, no reversed motion, no impossible deformation, no dramatic camera spin. Keep the full action legible.</x:v>
      </x:c>
      <x:c r="N321" s="14" t="n">
        <x:v>8</x:v>
      </x:c>
      <x:c r="O321" s="14" t="n">
        <x:v>100541</x:v>
      </x:c>
      <x:c r="P321" t="str">
        <x:v>R-E</x:v>
      </x:c>
      <x:c r="Q321" s="12" t="n">
        <x:v>3.86</x:v>
      </x:c>
      <x:c r="R321" s="12" t="n">
        <x:v>4.52</x:v>
      </x:c>
      <x:c r="S321" s="12" t="n">
        <x:v>4.58</x:v>
      </x:c>
      <x:c r="T321" s="12" t="n">
        <x:v>4.61</x:v>
      </x:c>
      <x:c r="U321" s="12" t="n">
        <x:v>4.31</x:v>
      </x:c>
      <x:c r="V321" s="12" t="n">
        <x:v>3.96</x:v>
      </x:c>
      <x:c r="W321" s="12" t="n">
        <x:f>ROUND((Q321*0.24)+(R321*0.22)+(S321*0.16)+(T321*0.18)+(U321*0.10)+(V321*0.10),2)</x:f>
        <x:v>4.31</x:v>
      </x:c>
      <x:c r="X321" t="str">
        <x:f>IF(W321&gt;=3.55,"Pass","Fail")</x:f>
        <x:v>Pass</x:v>
      </x:c>
      <x:c r="Y321" t="str">
        <x:v>small hand occlusion</x:v>
      </x:c>
      <x:c r="Z321" t="str">
        <x:v>Rater note: The clip feels like a usable shop-demo take. I can see the hand position and the hinge plate, cabinet door; it just needs a slightly longer hold on the final state. On a small preview it might pass, but full-screen review exposes the issue. The negative constraints help, but they do not fully solve the mechanics.</x:v>
      </x:c>
      <x:c r="AA321" t="str">
        <x:v>Break the action into start, contact, movement, and finish; ban extra tools and hand morphing.</x:v>
      </x:c>
      <x:c r="AB321" t="str">
        <x:v>Medium</x:v>
      </x:c>
      <x:c r="AC321" t="str"/>
      <x:c r="AD321" t="str">
        <x:v>Mock rater record for experiment design; audit against real video outputs before publication.</x:v>
      </x:c>
    </x:row>
    <x:row r="322">
      <x:c r="A322" t="str">
        <x:v>S054-Runway-CON</x:v>
      </x:c>
      <x:c r="B322" t="str">
        <x:v>S054</x:v>
      </x:c>
      <x:c r="C322" t="str">
        <x:v>Woodworking</x:v>
      </x:c>
      <x:c r="D322" t="str">
        <x:v>hardware</x:v>
      </x:c>
      <x:c r="E322" t="str">
        <x:v>marking</x:v>
      </x:c>
      <x:c r="F322" t="n">
        <x:v>2</x:v>
      </x:c>
      <x:c r="G322" t="str">
        <x:v>mark screw holes through a cabinet hinge plate</x:v>
      </x:c>
      <x:c r="H322" t="str">
        <x:v>pencil</x:v>
      </x:c>
      <x:c r="I322" t="str">
        <x:v>hinge plate, cabinet door</x:v>
      </x:c>
      <x:c r="J322" t="str">
        <x:v>Runway Gen-4.5</x:v>
      </x:c>
      <x:c r="K322" t="str">
        <x:v>Constraint-Rich Negative Prompt</x:v>
      </x:c>
      <x:c r="L322" t="str">
        <x:v>Adds concise no-floating-tools/no-extra-objects/no-morphing constraints.</x:v>
      </x:c>
      <x:c r="M322" t="str">
        <x:v>Close-up realistic instructional DIY video: mark screw holes through a cabinet hinge plate. Show pencil working on hinge plate, cabinet door. Hands visible, stable camera, no text overlay, neutral shop lighting. Constraints: no floating tools, no extra tools, no morphing hands, no reversed motion, no impossible deformation, no dramatic camera spin. Keep the full action legible.</x:v>
      </x:c>
      <x:c r="N322" s="14" t="n">
        <x:v>5</x:v>
      </x:c>
      <x:c r="O322" s="14" t="n">
        <x:v>100542</x:v>
      </x:c>
      <x:c r="P322" t="str">
        <x:v>R-C</x:v>
      </x:c>
      <x:c r="Q322" s="12" t="n">
        <x:v>3.79</x:v>
      </x:c>
      <x:c r="R322" s="12" t="n">
        <x:v>4.16</x:v>
      </x:c>
      <x:c r="S322" s="12" t="n">
        <x:v>3.91</x:v>
      </x:c>
      <x:c r="T322" s="12" t="n">
        <x:v>4.47</x:v>
      </x:c>
      <x:c r="U322" s="12" t="n">
        <x:v>4.42</x:v>
      </x:c>
      <x:c r="V322" s="12" t="n">
        <x:v>4.75</x:v>
      </x:c>
      <x:c r="W322" s="12" t="n">
        <x:f>ROUND((Q322*0.24)+(R322*0.22)+(S322*0.16)+(T322*0.18)+(U322*0.10)+(V322*0.10),2)</x:f>
        <x:v>4.17</x:v>
      </x:c>
      <x:c r="X322" t="str">
        <x:f>IF(W322&gt;=3.55,"Pass","Fail")</x:f>
        <x:v>Pass</x:v>
      </x:c>
      <x:c r="Y322" t="str">
        <x:v>none</x:v>
      </x:c>
      <x:c r="Z322" t="str">
        <x:v>Human check: The clip feels like a usable shop-demo take. I can see the hand position and the hinge plate, cabinet door; it just needs a slightly longer hold on the final state. The clip needs a verifier pass before it can enter the training pool. The negative constraints help, but they do not fully solve the mechanics.</x:v>
      </x:c>
      <x:c r="AA322" t="str">
        <x:v>Use a reference image for the pencil and specify its grip/orientation in plain language.</x:v>
      </x:c>
      <x:c r="AB322" t="str">
        <x:v>High</x:v>
      </x:c>
      <x:c r="AC322" t="str"/>
      <x:c r="AD322" t="str">
        <x:v>Synthetic benchmark entry; generated clip URL should be filled after API run.</x:v>
      </x:c>
    </x:row>
    <x:row r="323">
      <x:c r="A323" t="str">
        <x:v>S054-Kling-CON</x:v>
      </x:c>
      <x:c r="B323" t="str">
        <x:v>S054</x:v>
      </x:c>
      <x:c r="C323" t="str">
        <x:v>Woodworking</x:v>
      </x:c>
      <x:c r="D323" t="str">
        <x:v>hardware</x:v>
      </x:c>
      <x:c r="E323" t="str">
        <x:v>marking</x:v>
      </x:c>
      <x:c r="F323" t="n">
        <x:v>2</x:v>
      </x:c>
      <x:c r="G323" t="str">
        <x:v>mark screw holes through a cabinet hinge plate</x:v>
      </x:c>
      <x:c r="H323" t="str">
        <x:v>pencil</x:v>
      </x:c>
      <x:c r="I323" t="str">
        <x:v>hinge plate, cabinet door</x:v>
      </x:c>
      <x:c r="J323" t="str">
        <x:v>Kling v3.0 (Replicate)</x:v>
      </x:c>
      <x:c r="K323" t="str">
        <x:v>Constraint-Rich Negative Prompt</x:v>
      </x:c>
      <x:c r="L323" t="str">
        <x:v>Adds concise no-floating-tools/no-extra-objects/no-morphing constraints.</x:v>
      </x:c>
      <x:c r="M323" t="str">
        <x:v>Close-up realistic instructional DIY video: mark screw holes through a cabinet hinge plate. Show pencil working on hinge plate, cabinet door. Hands visible, stable camera, no text overlay, neutral shop lighting. Constraints: no floating tools, no extra tools, no morphing hands, no reversed motion, no impossible deformation, no dramatic camera spin. Keep the full action legible.</x:v>
      </x:c>
      <x:c r="N323" s="14" t="n">
        <x:v>10</x:v>
      </x:c>
      <x:c r="O323" s="14" t="n">
        <x:v>100543</x:v>
      </x:c>
      <x:c r="P323" t="str">
        <x:v>R-C</x:v>
      </x:c>
      <x:c r="Q323" s="12" t="n">
        <x:v>3.91</x:v>
      </x:c>
      <x:c r="R323" s="12" t="n">
        <x:v>3.75</x:v>
      </x:c>
      <x:c r="S323" s="12" t="n">
        <x:v>4.07</x:v>
      </x:c>
      <x:c r="T323" s="12" t="n">
        <x:v>3.04</x:v>
      </x:c>
      <x:c r="U323" s="12" t="n">
        <x:v>3.97</x:v>
      </x:c>
      <x:c r="V323" s="12" t="n">
        <x:v>3.6</x:v>
      </x:c>
      <x:c r="W323" s="12" t="n">
        <x:f>ROUND((Q323*0.24)+(R323*0.22)+(S323*0.16)+(T323*0.18)+(U323*0.10)+(V323*0.10),2)</x:f>
        <x:v>3.72</x:v>
      </x:c>
      <x:c r="X323" t="str">
        <x:f>IF(W323&gt;=3.55,"Pass","Fail")</x:f>
        <x:v>Pass</x:v>
      </x:c>
      <x:c r="Y323" t="str">
        <x:v>action starts too late</x:v>
      </x:c>
      <x:c r="Z323" t="str">
        <x:v>Rater note: Usable, but I would not show it without review. The pencil is recognizable, yet the exact contact point is hard to see when the hand crosses the frame. This would be safer as a reference-aided run than a text-only run. The negative constraints help, but they do not fully solve the mechanics.</x:v>
      </x:c>
      <x:c r="AA323" t="str">
        <x:v>Break the action into start, contact, movement, and finish; ban extra tools and hand morphing.</x:v>
      </x:c>
      <x:c r="AB323" t="str">
        <x:v>Medium-High</x:v>
      </x:c>
      <x:c r="AC323" t="str"/>
      <x:c r="AD323" t="str">
        <x:v>Synthetic benchmark entry; generated clip URL should be filled after API run.</x:v>
      </x:c>
    </x:row>
    <x:row r="324">
      <x:c r="A324" t="str">
        <x:v>S054-Pika-CON</x:v>
      </x:c>
      <x:c r="B324" t="str">
        <x:v>S054</x:v>
      </x:c>
      <x:c r="C324" t="str">
        <x:v>Woodworking</x:v>
      </x:c>
      <x:c r="D324" t="str">
        <x:v>hardware</x:v>
      </x:c>
      <x:c r="E324" t="str">
        <x:v>marking</x:v>
      </x:c>
      <x:c r="F324" t="n">
        <x:v>2</x:v>
      </x:c>
      <x:c r="G324" t="str">
        <x:v>mark screw holes through a cabinet hinge plate</x:v>
      </x:c>
      <x:c r="H324" t="str">
        <x:v>pencil</x:v>
      </x:c>
      <x:c r="I324" t="str">
        <x:v>hinge plate, cabinet door</x:v>
      </x:c>
      <x:c r="J324" t="str">
        <x:v>Pika 2.2</x:v>
      </x:c>
      <x:c r="K324" t="str">
        <x:v>Constraint-Rich Negative Prompt</x:v>
      </x:c>
      <x:c r="L324" t="str">
        <x:v>Adds concise no-floating-tools/no-extra-objects/no-morphing constraints.</x:v>
      </x:c>
      <x:c r="M324" t="str">
        <x:v>Close-up realistic instructional DIY video: mark screw holes through a cabinet hinge plate. Show pencil working on hinge plate, cabinet door. Hands visible, stable camera, no text overlay, neutral shop lighting. Constraints: no floating tools, no extra tools, no morphing hands, no reversed motion, no impossible deformation, no dramatic camera spin. Keep the full action legible.</x:v>
      </x:c>
      <x:c r="N324" s="14" t="n">
        <x:v>5</x:v>
      </x:c>
      <x:c r="O324" s="14" t="n">
        <x:v>100544</x:v>
      </x:c>
      <x:c r="P324" t="str">
        <x:v>R-C</x:v>
      </x:c>
      <x:c r="Q324" s="12" t="n">
        <x:v>2.85</x:v>
      </x:c>
      <x:c r="R324" s="12" t="n">
        <x:v>3.64</x:v>
      </x:c>
      <x:c r="S324" s="12" t="n">
        <x:v>3.63</x:v>
      </x:c>
      <x:c r="T324" s="12" t="n">
        <x:v>3.68</x:v>
      </x:c>
      <x:c r="U324" s="12" t="n">
        <x:v>3.42</x:v>
      </x:c>
      <x:c r="V324" s="12" t="n">
        <x:v>3.92</x:v>
      </x:c>
      <x:c r="W324" s="12" t="n">
        <x:f>ROUND((Q324*0.24)+(R324*0.22)+(S324*0.16)+(T324*0.18)+(U324*0.10)+(V324*0.10),2)</x:f>
        <x:v>3.46</x:v>
      </x:c>
      <x:c r="X324" t="str">
        <x:f>IF(W324&gt;=3.55,"Pass","Fail")</x:f>
        <x:v>Fail</x:v>
      </x:c>
      <x:c r="Y324" t="str">
        <x:v>force/torque reads wrong</x:v>
      </x:c>
      <x:c r="Z324" t="str">
        <x:v>Rater note: This should fail the instructional bar. The model gestures toward the task, but the failure mode prevents a learner from trusting the technique: force/torque reads wrong. The clip needs a verifier pass before it can enter the training pool. The negative constraints help, but they do not fully solve the mechanics.</x:v>
      </x:c>
      <x:c r="AA324" t="str">
        <x:v>Ask for a static close-up and require the pencil to touch the hinge plate, cabinet door before any motion starts.</x:v>
      </x:c>
      <x:c r="AB324" t="str">
        <x:v>Medium-High</x:v>
      </x:c>
      <x:c r="AC324" t="str"/>
      <x:c r="AD324" t="str">
        <x:v>Planning dataset only; scores are plausible placeholders, not vendor claims.</x:v>
      </x:c>
    </x:row>
    <x:row r="325">
      <x:c r="A325" t="str">
        <x:v>S054-Vidu-CON</x:v>
      </x:c>
      <x:c r="B325" t="str">
        <x:v>S054</x:v>
      </x:c>
      <x:c r="C325" t="str">
        <x:v>Woodworking</x:v>
      </x:c>
      <x:c r="D325" t="str">
        <x:v>hardware</x:v>
      </x:c>
      <x:c r="E325" t="str">
        <x:v>marking</x:v>
      </x:c>
      <x:c r="F325" t="n">
        <x:v>2</x:v>
      </x:c>
      <x:c r="G325" t="str">
        <x:v>mark screw holes through a cabinet hinge plate</x:v>
      </x:c>
      <x:c r="H325" t="str">
        <x:v>pencil</x:v>
      </x:c>
      <x:c r="I325" t="str">
        <x:v>hinge plate, cabinet door</x:v>
      </x:c>
      <x:c r="J325" t="str">
        <x:v>Vidu 2.0</x:v>
      </x:c>
      <x:c r="K325" t="str">
        <x:v>Constraint-Rich Negative Prompt</x:v>
      </x:c>
      <x:c r="L325" t="str">
        <x:v>Adds concise no-floating-tools/no-extra-objects/no-morphing constraints.</x:v>
      </x:c>
      <x:c r="M325" t="str">
        <x:v>Close-up realistic instructional DIY video: mark screw holes through a cabinet hinge plate. Show pencil working on hinge plate, cabinet door. Hands visible, stable camera, no text overlay, neutral shop lighting. Constraints: no floating tools, no extra tools, no morphing hands, no reversed motion, no impossible deformation, no dramatic camera spin. Keep the full action legible.</x:v>
      </x:c>
      <x:c r="N325" s="14" t="n">
        <x:v>5</x:v>
      </x:c>
      <x:c r="O325" s="14" t="n">
        <x:v>100545</x:v>
      </x:c>
      <x:c r="P325" t="str">
        <x:v>R-D</x:v>
      </x:c>
      <x:c r="Q325" s="12" t="n">
        <x:v>3.39</x:v>
      </x:c>
      <x:c r="R325" s="12" t="n">
        <x:v>3.66</x:v>
      </x:c>
      <x:c r="S325" s="12" t="n">
        <x:v>3.38</x:v>
      </x:c>
      <x:c r="T325" s="12" t="n">
        <x:v>3.62</x:v>
      </x:c>
      <x:c r="U325" s="12" t="n">
        <x:v>3.2</x:v>
      </x:c>
      <x:c r="V325" s="12" t="n">
        <x:v>3.68</x:v>
      </x:c>
      <x:c r="W325" s="12" t="n">
        <x:f>ROUND((Q325*0.24)+(R325*0.22)+(S325*0.16)+(T325*0.18)+(U325*0.10)+(V325*0.10),2)</x:f>
        <x:v>3.5</x:v>
      </x:c>
      <x:c r="X325" t="str">
        <x:f>IF(W325&gt;=3.55,"Pass","Fail")</x:f>
        <x:v>Fail</x:v>
      </x:c>
      <x:c r="Y325" t="str">
        <x:v>tool floats near object</x:v>
      </x:c>
      <x:c r="Z325" t="str">
        <x:v>QA note: This should fail the instructional bar. The model gestures toward the task, but the failure mode prevents a learner from trusting the technique: tool floats near object. This reads better as a teaser than as an instructional clip. The negative constraints help, but they do not fully solve the mechanics.</x:v>
      </x:c>
      <x:c r="AA325" t="str">
        <x:v>Use sequential context only for continuity, not for adding previous/next steps into the frame.</x:v>
      </x:c>
      <x:c r="AB325" t="str">
        <x:v>Medium</x:v>
      </x:c>
      <x:c r="AC325" t="str"/>
      <x:c r="AD325" t="str">
        <x:v>Simulated pilot row for planning; replace with blinded ratings after generating actual clips.</x:v>
      </x:c>
    </x:row>
    <x:row r="326">
      <x:c r="A326" t="str">
        <x:v>S055-Veo-DIR</x:v>
      </x:c>
      <x:c r="B326" t="str">
        <x:v>S055</x:v>
      </x:c>
      <x:c r="C326" t="str">
        <x:v>Woodworking</x:v>
      </x:c>
      <x:c r="D326" t="str">
        <x:v>hardware</x:v>
      </x:c>
      <x:c r="E326" t="str">
        <x:v>fastening</x:v>
      </x:c>
      <x:c r="F326" t="n">
        <x:v>3</x:v>
      </x:c>
      <x:c r="G326" t="str">
        <x:v>fasten a drawer pull through predrilled holes</x:v>
      </x:c>
      <x:c r="H326" t="str">
        <x:v>screwdriver</x:v>
      </x:c>
      <x:c r="I326" t="str">
        <x:v>drawer pull, drawer front</x:v>
      </x:c>
      <x:c r="J326" t="str">
        <x:v>Veo 3.1</x:v>
      </x:c>
      <x:c r="K326" t="str">
        <x:v>Direct Natural Language</x:v>
      </x:c>
      <x:c r="L326" t="str">
        <x:v>Baseline wording only; no explicit decomposition.</x:v>
      </x:c>
      <x:c r="M326" t="str">
        <x:v>Close-up realistic instructional DIY video: fasten a drawer pull through predrilled holes. Show screwdriver working on drawer pull, drawer front. Hands visible, stable camera, no text overlay, neutral shop lighting.</x:v>
      </x:c>
      <x:c r="N326" s="14" t="n">
        <x:v>8</x:v>
      </x:c>
      <x:c r="O326" s="14" t="n">
        <x:v>100550</x:v>
      </x:c>
      <x:c r="P326" t="str">
        <x:v>R-A</x:v>
      </x:c>
      <x:c r="Q326" s="12" t="n">
        <x:v>3.72</x:v>
      </x:c>
      <x:c r="R326" s="12" t="n">
        <x:v>3.78</x:v>
      </x:c>
      <x:c r="S326" s="12" t="n">
        <x:v>4.11</x:v>
      </x:c>
      <x:c r="T326" s="12" t="n">
        <x:v>4.4</x:v>
      </x:c>
      <x:c r="U326" s="12" t="n">
        <x:v>4.03</x:v>
      </x:c>
      <x:c r="V326" s="12" t="n">
        <x:v>3.77</x:v>
      </x:c>
      <x:c r="W326" s="12" t="n">
        <x:f>ROUND((Q326*0.24)+(R326*0.22)+(S326*0.16)+(T326*0.18)+(U326*0.10)+(V326*0.10),2)</x:f>
        <x:v>3.95</x:v>
      </x:c>
      <x:c r="X326" t="str">
        <x:f>IF(W326&gt;=3.55,"Pass","Fail")</x:f>
        <x:v>Pass</x:v>
      </x:c>
      <x:c r="Y326" t="str">
        <x:v>endpoint not visible</x:v>
      </x:c>
      <x:c r="Z326" t="str">
        <x:v>Clip review: The intention is clear, especially if you already know the step. A novice might miss the key detail because this issue appears right where the action should be most explicit: endpoint not visible. The mistake appears late, so a simple thumbnail review would probably miss it. For this woodworking example, the main judgment is still whether the viewer can copy the motion.</x:v>
      </x:c>
      <x:c r="AA326" t="str">
        <x:v>Add a one-sentence end-state requirement: viewer must see the completed fastening result for one full second.</x:v>
      </x:c>
      <x:c r="AB326" t="str">
        <x:v>High</x:v>
      </x:c>
      <x:c r="AC326" t="str"/>
      <x:c r="AD326" t="str">
        <x:v>Mock rater record for experiment design; audit against real video outputs before publication.</x:v>
      </x:c>
    </x:row>
    <x:row r="327">
      <x:c r="A327" t="str">
        <x:v>S055-Sora-DIR</x:v>
      </x:c>
      <x:c r="B327" t="str">
        <x:v>S055</x:v>
      </x:c>
      <x:c r="C327" t="str">
        <x:v>Woodworking</x:v>
      </x:c>
      <x:c r="D327" t="str">
        <x:v>hardware</x:v>
      </x:c>
      <x:c r="E327" t="str">
        <x:v>fastening</x:v>
      </x:c>
      <x:c r="F327" t="n">
        <x:v>3</x:v>
      </x:c>
      <x:c r="G327" t="str">
        <x:v>fasten a drawer pull through predrilled holes</x:v>
      </x:c>
      <x:c r="H327" t="str">
        <x:v>screwdriver</x:v>
      </x:c>
      <x:c r="I327" t="str">
        <x:v>drawer pull, drawer front</x:v>
      </x:c>
      <x:c r="J327" t="str">
        <x:v>Sora 2 Pro</x:v>
      </x:c>
      <x:c r="K327" t="str">
        <x:v>Direct Natural Language</x:v>
      </x:c>
      <x:c r="L327" t="str">
        <x:v>Baseline wording only; no explicit decomposition.</x:v>
      </x:c>
      <x:c r="M327" t="str">
        <x:v>Close-up realistic instructional DIY video: fasten a drawer pull through predrilled holes. Show screwdriver working on drawer pull, drawer front. Hands visible, stable camera, no text overlay, neutral shop lighting.</x:v>
      </x:c>
      <x:c r="N327" s="14" t="n">
        <x:v>8</x:v>
      </x:c>
      <x:c r="O327" s="14" t="n">
        <x:v>100551</x:v>
      </x:c>
      <x:c r="P327" t="str">
        <x:v>R-C</x:v>
      </x:c>
      <x:c r="Q327" s="12" t="n">
        <x:v>3.73</x:v>
      </x:c>
      <x:c r="R327" s="12" t="n">
        <x:v>3.59</x:v>
      </x:c>
      <x:c r="S327" s="12" t="n">
        <x:v>4.1</x:v>
      </x:c>
      <x:c r="T327" s="12" t="n">
        <x:v>4.31</x:v>
      </x:c>
      <x:c r="U327" s="12" t="n">
        <x:v>4.33</x:v>
      </x:c>
      <x:c r="V327" s="12" t="n">
        <x:v>3.86</x:v>
      </x:c>
      <x:c r="W327" s="12" t="n">
        <x:f>ROUND((Q327*0.24)+(R327*0.22)+(S327*0.16)+(T327*0.18)+(U327*0.10)+(V327*0.10),2)</x:f>
        <x:v>3.94</x:v>
      </x:c>
      <x:c r="X327" t="str">
        <x:f>IF(W327&gt;=3.55,"Pass","Fail")</x:f>
        <x:v>Pass</x:v>
      </x:c>
      <x:c r="Y327" t="str">
        <x:v>tool pose a little soft</x:v>
      </x:c>
      <x:c r="Z327" t="str">
        <x:v>Review note: The clip has the right ingredients but not quite the right mechanics. It needs a tighter prompt about grip, contact, and the end position. This reads better as a teaser than as an instructional clip. For this woodworking example, the main judgment is still whether the viewer can copy the motion.</x:v>
      </x:c>
      <x:c r="AA327" t="str">
        <x:v>Ask for a static close-up and require the screwdriver to touch the drawer pull, drawer front before any motion starts.</x:v>
      </x:c>
      <x:c r="AB327" t="str">
        <x:v>Medium-High</x:v>
      </x:c>
      <x:c r="AC327" t="str"/>
      <x:c r="AD327" t="str">
        <x:v>Synthetic benchmark entry; generated clip URL should be filled after API run.</x:v>
      </x:c>
    </x:row>
    <x:row r="328">
      <x:c r="A328" t="str">
        <x:v>S055-Runway-DIR</x:v>
      </x:c>
      <x:c r="B328" t="str">
        <x:v>S055</x:v>
      </x:c>
      <x:c r="C328" t="str">
        <x:v>Woodworking</x:v>
      </x:c>
      <x:c r="D328" t="str">
        <x:v>hardware</x:v>
      </x:c>
      <x:c r="E328" t="str">
        <x:v>fastening</x:v>
      </x:c>
      <x:c r="F328" t="n">
        <x:v>3</x:v>
      </x:c>
      <x:c r="G328" t="str">
        <x:v>fasten a drawer pull through predrilled holes</x:v>
      </x:c>
      <x:c r="H328" t="str">
        <x:v>screwdriver</x:v>
      </x:c>
      <x:c r="I328" t="str">
        <x:v>drawer pull, drawer front</x:v>
      </x:c>
      <x:c r="J328" t="str">
        <x:v>Runway Gen-4.5</x:v>
      </x:c>
      <x:c r="K328" t="str">
        <x:v>Direct Natural Language</x:v>
      </x:c>
      <x:c r="L328" t="str">
        <x:v>Baseline wording only; no explicit decomposition.</x:v>
      </x:c>
      <x:c r="M328" t="str">
        <x:v>Close-up realistic instructional DIY video: fasten a drawer pull through predrilled holes. Show screwdriver working on drawer pull, drawer front. Hands visible, stable camera, no text overlay, neutral shop lighting.</x:v>
      </x:c>
      <x:c r="N328" s="14" t="n">
        <x:v>5</x:v>
      </x:c>
      <x:c r="O328" s="14" t="n">
        <x:v>100552</x:v>
      </x:c>
      <x:c r="P328" t="str">
        <x:v>R-D</x:v>
      </x:c>
      <x:c r="Q328" s="12" t="n">
        <x:v>2.95</x:v>
      </x:c>
      <x:c r="R328" s="12" t="n">
        <x:v>3.85</x:v>
      </x:c>
      <x:c r="S328" s="12" t="n">
        <x:v>3.35</x:v>
      </x:c>
      <x:c r="T328" s="12" t="n">
        <x:v>3.92</x:v>
      </x:c>
      <x:c r="U328" s="12" t="n">
        <x:v>4.12</x:v>
      </x:c>
      <x:c r="V328" s="12" t="n">
        <x:v>3.68</x:v>
      </x:c>
      <x:c r="W328" s="12" t="n">
        <x:f>ROUND((Q328*0.24)+(R328*0.22)+(S328*0.16)+(T328*0.18)+(U328*0.10)+(V328*0.10),2)</x:f>
        <x:v>3.58</x:v>
      </x:c>
      <x:c r="X328" t="str">
        <x:f>IF(W328&gt;=3.55,"Pass","Fail")</x:f>
        <x:v>Pass</x:v>
      </x:c>
      <x:c r="Y328" t="str">
        <x:v>thread direction unclear</x:v>
      </x:c>
      <x:c r="Z328" t="str">
        <x:v>Clip review: Usable, but I would not show it without review. The screwdriver is recognizable, yet the exact contact point is hard to see when the hand crosses the frame. I would keep the same camera angle but ask for a tighter view of the contact point. The baseline prompt is likely under-specifying the tool path.</x:v>
      </x:c>
      <x:c r="AA328" t="str">
        <x:v>Break the action into start, contact, movement, and finish; ban extra tools and hand morphing.</x:v>
      </x:c>
      <x:c r="AB328" t="str">
        <x:v>High</x:v>
      </x:c>
      <x:c r="AC328" t="str"/>
      <x:c r="AD328" t="str">
        <x:v>Simulated pilot row for planning; replace with blinded ratings after generating actual clips.</x:v>
      </x:c>
    </x:row>
    <x:row r="329">
      <x:c r="A329" t="str">
        <x:v>S055-Kling-DIR</x:v>
      </x:c>
      <x:c r="B329" t="str">
        <x:v>S055</x:v>
      </x:c>
      <x:c r="C329" t="str">
        <x:v>Woodworking</x:v>
      </x:c>
      <x:c r="D329" t="str">
        <x:v>hardware</x:v>
      </x:c>
      <x:c r="E329" t="str">
        <x:v>fastening</x:v>
      </x:c>
      <x:c r="F329" t="n">
        <x:v>3</x:v>
      </x:c>
      <x:c r="G329" t="str">
        <x:v>fasten a drawer pull through predrilled holes</x:v>
      </x:c>
      <x:c r="H329" t="str">
        <x:v>screwdriver</x:v>
      </x:c>
      <x:c r="I329" t="str">
        <x:v>drawer pull, drawer front</x:v>
      </x:c>
      <x:c r="J329" t="str">
        <x:v>Kling v3.0 (Replicate)</x:v>
      </x:c>
      <x:c r="K329" t="str">
        <x:v>Direct Natural Language</x:v>
      </x:c>
      <x:c r="L329" t="str">
        <x:v>Baseline wording only; no explicit decomposition.</x:v>
      </x:c>
      <x:c r="M329" t="str">
        <x:v>Close-up realistic instructional DIY video: fasten a drawer pull through predrilled holes. Show screwdriver working on drawer pull, drawer front. Hands visible, stable camera, no text overlay, neutral shop lighting.</x:v>
      </x:c>
      <x:c r="N329" s="14" t="n">
        <x:v>10</x:v>
      </x:c>
      <x:c r="O329" s="14" t="n">
        <x:v>100553</x:v>
      </x:c>
      <x:c r="P329" t="str">
        <x:v>R-D</x:v>
      </x:c>
      <x:c r="Q329" s="12" t="n">
        <x:v>3.89</x:v>
      </x:c>
      <x:c r="R329" s="12" t="n">
        <x:v>4.07</x:v>
      </x:c>
      <x:c r="S329" s="12" t="n">
        <x:v>3.52</x:v>
      </x:c>
      <x:c r="T329" s="12" t="n">
        <x:v>3.44</x:v>
      </x:c>
      <x:c r="U329" s="12" t="n">
        <x:v>4.1</x:v>
      </x:c>
      <x:c r="V329" s="12" t="n">
        <x:v>3.83</x:v>
      </x:c>
      <x:c r="W329" s="12" t="n">
        <x:f>ROUND((Q329*0.24)+(R329*0.22)+(S329*0.16)+(T329*0.18)+(U329*0.10)+(V329*0.10),2)</x:f>
        <x:v>3.8</x:v>
      </x:c>
      <x:c r="X329" t="str">
        <x:f>IF(W329&gt;=3.55,"Pass","Fail")</x:f>
        <x:v>Pass</x:v>
      </x:c>
      <x:c r="Y329" t="str">
        <x:v>none</x:v>
      </x:c>
      <x:c r="Z329" t="str">
        <x:v>Clip review: The intention is clear, especially if you already know the step. A novice might miss the key detail because this issue appears right where the action should be most explicit: none. I marked it down for the key moment rather than the opening setup. For this woodworking example, the main judgment is still whether the viewer can copy the motion.</x:v>
      </x:c>
      <x:c r="AA329" t="str">
        <x:v>Move safety language earlier in the prompt and remove cinematic camera instructions.</x:v>
      </x:c>
      <x:c r="AB329" t="str">
        <x:v>High</x:v>
      </x:c>
      <x:c r="AC329" t="str"/>
      <x:c r="AD329" t="str">
        <x:v>Mock rater record for experiment design; audit against real video outputs before publication.</x:v>
      </x:c>
    </x:row>
    <x:row r="330">
      <x:c r="A330" t="str">
        <x:v>S055-Pika-DIR</x:v>
      </x:c>
      <x:c r="B330" t="str">
        <x:v>S055</x:v>
      </x:c>
      <x:c r="C330" t="str">
        <x:v>Woodworking</x:v>
      </x:c>
      <x:c r="D330" t="str">
        <x:v>hardware</x:v>
      </x:c>
      <x:c r="E330" t="str">
        <x:v>fastening</x:v>
      </x:c>
      <x:c r="F330" t="n">
        <x:v>3</x:v>
      </x:c>
      <x:c r="G330" t="str">
        <x:v>fasten a drawer pull through predrilled holes</x:v>
      </x:c>
      <x:c r="H330" t="str">
        <x:v>screwdriver</x:v>
      </x:c>
      <x:c r="I330" t="str">
        <x:v>drawer pull, drawer front</x:v>
      </x:c>
      <x:c r="J330" t="str">
        <x:v>Pika 2.2</x:v>
      </x:c>
      <x:c r="K330" t="str">
        <x:v>Direct Natural Language</x:v>
      </x:c>
      <x:c r="L330" t="str">
        <x:v>Baseline wording only; no explicit decomposition.</x:v>
      </x:c>
      <x:c r="M330" t="str">
        <x:v>Close-up realistic instructional DIY video: fasten a drawer pull through predrilled holes. Show screwdriver working on drawer pull, drawer front. Hands visible, stable camera, no text overlay, neutral shop lighting.</x:v>
      </x:c>
      <x:c r="N330" s="14" t="n">
        <x:v>5</x:v>
      </x:c>
      <x:c r="O330" s="14" t="n">
        <x:v>100554</x:v>
      </x:c>
      <x:c r="P330" t="str">
        <x:v>R-E</x:v>
      </x:c>
      <x:c r="Q330" s="12" t="n">
        <x:v>3.02</x:v>
      </x:c>
      <x:c r="R330" s="12" t="n">
        <x:v>3.62</x:v>
      </x:c>
      <x:c r="S330" s="12" t="n">
        <x:v>2.56</x:v>
      </x:c>
      <x:c r="T330" s="12" t="n">
        <x:v>3.13</x:v>
      </x:c>
      <x:c r="U330" s="12" t="n">
        <x:v>3.43</x:v>
      </x:c>
      <x:c r="V330" s="12" t="n">
        <x:v>3.7</x:v>
      </x:c>
      <x:c r="W330" s="12" t="n">
        <x:f>ROUND((Q330*0.24)+(R330*0.22)+(S330*0.16)+(T330*0.18)+(U330*0.10)+(V330*0.10),2)</x:f>
        <x:v>3.21</x:v>
      </x:c>
      <x:c r="X330" t="str">
        <x:f>IF(W330&gt;=3.55,"Pass","Fail")</x:f>
        <x:v>Fail</x:v>
      </x:c>
      <x:c r="Y330" t="str">
        <x:v>scale of tool is off</x:v>
      </x:c>
      <x:c r="Z330" t="str">
        <x:v>Rater note: Too much is being implied. The screwdriver and drawer pull, drawer front are in the scene, but the motion does not demonstrate the actual repair step. This would be safer as a reference-aided run than a text-only run. The baseline prompt is likely under-specifying the tool path.</x:v>
      </x:c>
      <x:c r="AA330" t="str">
        <x:v>Break the action into start, contact, movement, and finish; ban extra tools and hand morphing.</x:v>
      </x:c>
      <x:c r="AB330" t="str">
        <x:v>Low</x:v>
      </x:c>
      <x:c r="AC330" t="str"/>
      <x:c r="AD330" t="str">
        <x:v>Simulated pilot row for planning; replace with blinded ratings after generating actual clips.</x:v>
      </x:c>
    </x:row>
    <x:row r="331">
      <x:c r="A331" t="str">
        <x:v>S055-Vidu-DIR</x:v>
      </x:c>
      <x:c r="B331" t="str">
        <x:v>S055</x:v>
      </x:c>
      <x:c r="C331" t="str">
        <x:v>Woodworking</x:v>
      </x:c>
      <x:c r="D331" t="str">
        <x:v>hardware</x:v>
      </x:c>
      <x:c r="E331" t="str">
        <x:v>fastening</x:v>
      </x:c>
      <x:c r="F331" t="n">
        <x:v>3</x:v>
      </x:c>
      <x:c r="G331" t="str">
        <x:v>fasten a drawer pull through predrilled holes</x:v>
      </x:c>
      <x:c r="H331" t="str">
        <x:v>screwdriver</x:v>
      </x:c>
      <x:c r="I331" t="str">
        <x:v>drawer pull, drawer front</x:v>
      </x:c>
      <x:c r="J331" t="str">
        <x:v>Vidu 2.0</x:v>
      </x:c>
      <x:c r="K331" t="str">
        <x:v>Direct Natural Language</x:v>
      </x:c>
      <x:c r="L331" t="str">
        <x:v>Baseline wording only; no explicit decomposition.</x:v>
      </x:c>
      <x:c r="M331" t="str">
        <x:v>Close-up realistic instructional DIY video: fasten a drawer pull through predrilled holes. Show screwdriver working on drawer pull, drawer front. Hands visible, stable camera, no text overlay, neutral shop lighting.</x:v>
      </x:c>
      <x:c r="N331" s="14" t="n">
        <x:v>5</x:v>
      </x:c>
      <x:c r="O331" s="14" t="n">
        <x:v>100555</x:v>
      </x:c>
      <x:c r="P331" t="str">
        <x:v>R-C</x:v>
      </x:c>
      <x:c r="Q331" s="12" t="n">
        <x:v>2.76</x:v>
      </x:c>
      <x:c r="R331" s="12" t="n">
        <x:v>3.24</x:v>
      </x:c>
      <x:c r="S331" s="12" t="n">
        <x:v>3.53</x:v>
      </x:c>
      <x:c r="T331" s="12" t="n">
        <x:v>3.17</x:v>
      </x:c>
      <x:c r="U331" s="12" t="n">
        <x:v>2.84</x:v>
      </x:c>
      <x:c r="V331" s="12" t="n">
        <x:v>2.99</x:v>
      </x:c>
      <x:c r="W331" s="12" t="n">
        <x:f>ROUND((Q331*0.24)+(R331*0.22)+(S331*0.16)+(T331*0.18)+(U331*0.10)+(V331*0.10),2)</x:f>
        <x:v>3.09</x:v>
      </x:c>
      <x:c r="X331" t="str">
        <x:f>IF(W331&gt;=3.55,"Pass","Fail")</x:f>
        <x:v>Fail</x:v>
      </x:c>
      <x:c r="Y331" t="str">
        <x:v>missing contact point</x:v>
      </x:c>
      <x:c r="Z331" t="str">
        <x:v>Human check: A reviewer would likely reject this. It may be visually attractive, but the tool/object relationship breaks during the important moment. The tool silhouette is acceptable; the mechanics are the weak part. The baseline prompt is likely under-specifying the tool path.</x:v>
      </x:c>
      <x:c r="AA331" t="str">
        <x:v>Specify the exact contact point and do not allow the hand to cover it.</x:v>
      </x:c>
      <x:c r="AB331" t="str">
        <x:v>Low</x:v>
      </x:c>
      <x:c r="AC331" t="str"/>
      <x:c r="AD331" t="str">
        <x:v>Planning dataset only; scores are plausible placeholders, not vendor claims.</x:v>
      </x:c>
    </x:row>
    <x:row r="332">
      <x:c r="A332" t="str">
        <x:v>S056-Veo-STR</x:v>
      </x:c>
      <x:c r="B332" t="str">
        <x:v>S056</x:v>
      </x:c>
      <x:c r="C332" t="str">
        <x:v>Woodworking</x:v>
      </x:c>
      <x:c r="D332" t="str">
        <x:v>finishing</x:v>
      </x:c>
      <x:c r="E332" t="str">
        <x:v>brushing</x:v>
      </x:c>
      <x:c r="F332" t="n">
        <x:v>2</x:v>
      </x:c>
      <x:c r="G332" t="str">
        <x:v>brush polyurethane with long strokes along the grain</x:v>
      </x:c>
      <x:c r="H332" t="str">
        <x:v>foam brush</x:v>
      </x:c>
      <x:c r="I332" t="str">
        <x:v>wood panel</x:v>
      </x:c>
      <x:c r="J332" t="str">
        <x:v>Veo 3.1</x:v>
      </x:c>
      <x:c r="K332" t="str">
        <x:v>Structured Action-Object-Tool</x:v>
      </x:c>
      <x:c r="L332" t="str">
        <x:v>Action, tool, object, grip, contact point, start/end states.</x:v>
      </x:c>
      <x:c r="M332" t="str">
        <x:v>Close-up realistic instructional DIY video: brush polyurethane with long strokes along the grain. Show foam brush working on wood panel. Hands visible, stable camera, no text overlay, neutral shop lighting. Action=brushing; tool=foam brush; object/material=wood panel; show tool-to-object contact; start state, motion, and finished state all visible.</x:v>
      </x:c>
      <x:c r="N332" s="14" t="n">
        <x:v>8</x:v>
      </x:c>
      <x:c r="O332" s="14" t="n">
        <x:v>100560</x:v>
      </x:c>
      <x:c r="P332" t="str">
        <x:v>R-B</x:v>
      </x:c>
      <x:c r="Q332" s="12" t="n">
        <x:v>4.2</x:v>
      </x:c>
      <x:c r="R332" s="12" t="n">
        <x:v>4.49</x:v>
      </x:c>
      <x:c r="S332" s="12" t="n">
        <x:v>4.27</x:v>
      </x:c>
      <x:c r="T332" s="12" t="n">
        <x:v>4.28</x:v>
      </x:c>
      <x:c r="U332" s="12" t="n">
        <x:v>4.12</x:v>
      </x:c>
      <x:c r="V332" s="12" t="n">
        <x:v>4.53</x:v>
      </x:c>
      <x:c r="W332" s="12" t="n">
        <x:f>ROUND((Q332*0.24)+(R332*0.22)+(S332*0.16)+(T332*0.18)+(U332*0.10)+(V332*0.10),2)</x:f>
        <x:v>4.31</x:v>
      </x:c>
      <x:c r="X332" t="str">
        <x:f>IF(W332&gt;=3.55,"Pass","Fail")</x:f>
        <x:v>Pass</x:v>
      </x:c>
      <x:c r="Y332" t="str">
        <x:v>none</x:v>
      </x:c>
      <x:c r="Z332" t="str">
        <x:v>Clip review: The clip feels like a usable shop-demo take. I can see the hand position and the wood panel; it just needs a slightly longer hold on the final state. The clip needs a verifier pass before it can enter the training pool. For this woodworking example, the main judgment is still whether the viewer can copy the motion.</x:v>
      </x:c>
      <x:c r="AA332" t="str">
        <x:v>No immediate re-run; keep as candidate and verify with a second rater.</x:v>
      </x:c>
      <x:c r="AB332" t="str">
        <x:v>Medium</x:v>
      </x:c>
      <x:c r="AC332" t="str"/>
      <x:c r="AD332" t="str">
        <x:v>Synthetic benchmark entry; generated clip URL should be filled after API run.</x:v>
      </x:c>
    </x:row>
    <x:row r="333">
      <x:c r="A333" t="str">
        <x:v>S056-Sora-STR</x:v>
      </x:c>
      <x:c r="B333" t="str">
        <x:v>S056</x:v>
      </x:c>
      <x:c r="C333" t="str">
        <x:v>Woodworking</x:v>
      </x:c>
      <x:c r="D333" t="str">
        <x:v>finishing</x:v>
      </x:c>
      <x:c r="E333" t="str">
        <x:v>brushing</x:v>
      </x:c>
      <x:c r="F333" t="n">
        <x:v>2</x:v>
      </x:c>
      <x:c r="G333" t="str">
        <x:v>brush polyurethane with long strokes along the grain</x:v>
      </x:c>
      <x:c r="H333" t="str">
        <x:v>foam brush</x:v>
      </x:c>
      <x:c r="I333" t="str">
        <x:v>wood panel</x:v>
      </x:c>
      <x:c r="J333" t="str">
        <x:v>Sora 2 Pro</x:v>
      </x:c>
      <x:c r="K333" t="str">
        <x:v>Structured Action-Object-Tool</x:v>
      </x:c>
      <x:c r="L333" t="str">
        <x:v>Action, tool, object, grip, contact point, start/end states.</x:v>
      </x:c>
      <x:c r="M333" t="str">
        <x:v>Close-up realistic instructional DIY video: brush polyurethane with long strokes along the grain. Show foam brush working on wood panel. Hands visible, stable camera, no text overlay, neutral shop lighting. Action=brushing; tool=foam brush; object/material=wood panel; show tool-to-object contact; start state, motion, and finished state all visible.</x:v>
      </x:c>
      <x:c r="N333" s="14" t="n">
        <x:v>8</x:v>
      </x:c>
      <x:c r="O333" s="14" t="n">
        <x:v>100561</x:v>
      </x:c>
      <x:c r="P333" t="str">
        <x:v>R-E</x:v>
      </x:c>
      <x:c r="Q333" s="12" t="n">
        <x:v>3.87</x:v>
      </x:c>
      <x:c r="R333" s="12" t="n">
        <x:v>4.16</x:v>
      </x:c>
      <x:c r="S333" s="12" t="n">
        <x:v>4.19</x:v>
      </x:c>
      <x:c r="T333" s="12" t="n">
        <x:v>4.37</x:v>
      </x:c>
      <x:c r="U333" s="12" t="n">
        <x:v>4.65</x:v>
      </x:c>
      <x:c r="V333" s="12" t="n">
        <x:v>3.99</x:v>
      </x:c>
      <x:c r="W333" s="12" t="n">
        <x:f>ROUND((Q333*0.24)+(R333*0.22)+(S333*0.16)+(T333*0.18)+(U333*0.10)+(V333*0.10),2)</x:f>
        <x:v>4.17</x:v>
      </x:c>
      <x:c r="X333" t="str">
        <x:f>IF(W333&gt;=3.55,"Pass","Fail")</x:f>
        <x:v>Pass</x:v>
      </x:c>
      <x:c r="Y333" t="str">
        <x:v>contact point hidden</x:v>
      </x:c>
      <x:c r="Z333" t="str">
        <x:v>QA note: The clip feels like a usable shop-demo take. I can see the hand position and the wood panel; it just needs a slightly longer hold on the final state. I marked it down for the key moment rather than the opening setup. For this woodworking example, the main judgment is still whether the viewer can copy the motion.</x:v>
      </x:c>
      <x:c r="AA333" t="str">
        <x:v>Move safety language earlier in the prompt and remove cinematic camera instructions.</x:v>
      </x:c>
      <x:c r="AB333" t="str">
        <x:v>Medium-High</x:v>
      </x:c>
      <x:c r="AC333" t="str"/>
      <x:c r="AD333" t="str">
        <x:v>Synthetic benchmark entry; generated clip URL should be filled after API run.</x:v>
      </x:c>
    </x:row>
    <x:row r="334">
      <x:c r="A334" t="str">
        <x:v>S056-Runway-STR</x:v>
      </x:c>
      <x:c r="B334" t="str">
        <x:v>S056</x:v>
      </x:c>
      <x:c r="C334" t="str">
        <x:v>Woodworking</x:v>
      </x:c>
      <x:c r="D334" t="str">
        <x:v>finishing</x:v>
      </x:c>
      <x:c r="E334" t="str">
        <x:v>brushing</x:v>
      </x:c>
      <x:c r="F334" t="n">
        <x:v>2</x:v>
      </x:c>
      <x:c r="G334" t="str">
        <x:v>brush polyurethane with long strokes along the grain</x:v>
      </x:c>
      <x:c r="H334" t="str">
        <x:v>foam brush</x:v>
      </x:c>
      <x:c r="I334" t="str">
        <x:v>wood panel</x:v>
      </x:c>
      <x:c r="J334" t="str">
        <x:v>Runway Gen-4.5</x:v>
      </x:c>
      <x:c r="K334" t="str">
        <x:v>Structured Action-Object-Tool</x:v>
      </x:c>
      <x:c r="L334" t="str">
        <x:v>Action, tool, object, grip, contact point, start/end states.</x:v>
      </x:c>
      <x:c r="M334" t="str">
        <x:v>Close-up realistic instructional DIY video: brush polyurethane with long strokes along the grain. Show foam brush working on wood panel. Hands visible, stable camera, no text overlay, neutral shop lighting. Action=brushing; tool=foam brush; object/material=wood panel; show tool-to-object contact; start state, motion, and finished state all visible.</x:v>
      </x:c>
      <x:c r="N334" s="14" t="n">
        <x:v>5</x:v>
      </x:c>
      <x:c r="O334" s="14" t="n">
        <x:v>100562</x:v>
      </x:c>
      <x:c r="P334" t="str">
        <x:v>R-B</x:v>
      </x:c>
      <x:c r="Q334" s="12" t="n">
        <x:v>3.88</x:v>
      </x:c>
      <x:c r="R334" s="12" t="n">
        <x:v>4.26</x:v>
      </x:c>
      <x:c r="S334" s="12" t="n">
        <x:v>4.24</x:v>
      </x:c>
      <x:c r="T334" s="12" t="n">
        <x:v>4.21</x:v>
      </x:c>
      <x:c r="U334" s="12" t="n">
        <x:v>4.49</x:v>
      </x:c>
      <x:c r="V334" s="12" t="n">
        <x:v>4.27</x:v>
      </x:c>
      <x:c r="W334" s="12" t="n">
        <x:f>ROUND((Q334*0.24)+(R334*0.22)+(S334*0.16)+(T334*0.18)+(U334*0.10)+(V334*0.10),2)</x:f>
        <x:v>4.18</x:v>
      </x:c>
      <x:c r="X334" t="str">
        <x:f>IF(W334&gt;=3.55,"Pass","Fail")</x:f>
        <x:v>Pass</x:v>
      </x:c>
      <x:c r="Y334" t="str">
        <x:v>minor continuity jump</x:v>
      </x:c>
      <x:c r="Z334" t="str">
        <x:v>Human check: This one would probably pass a quick review. The foam brush stays believable, the start and end states are easy to read, and the only nit is that hand occludes the exact contact point. On a small preview it might pass, but full-screen review exposes the issue. For this woodworking example, the main judgment is still whether the viewer can copy the motion.</x:v>
      </x:c>
      <x:c r="AA334" t="str">
        <x:v>Specify the exact contact point and do not allow the hand to cover it.</x:v>
      </x:c>
      <x:c r="AB334" t="str">
        <x:v>Medium-High</x:v>
      </x:c>
      <x:c r="AC334" t="str"/>
      <x:c r="AD334" t="str">
        <x:v>Simulated pilot row for planning; replace with blinded ratings after generating actual clips.</x:v>
      </x:c>
    </x:row>
    <x:row r="335">
      <x:c r="A335" t="str">
        <x:v>S056-Kling-STR</x:v>
      </x:c>
      <x:c r="B335" t="str">
        <x:v>S056</x:v>
      </x:c>
      <x:c r="C335" t="str">
        <x:v>Woodworking</x:v>
      </x:c>
      <x:c r="D335" t="str">
        <x:v>finishing</x:v>
      </x:c>
      <x:c r="E335" t="str">
        <x:v>brushing</x:v>
      </x:c>
      <x:c r="F335" t="n">
        <x:v>2</x:v>
      </x:c>
      <x:c r="G335" t="str">
        <x:v>brush polyurethane with long strokes along the grain</x:v>
      </x:c>
      <x:c r="H335" t="str">
        <x:v>foam brush</x:v>
      </x:c>
      <x:c r="I335" t="str">
        <x:v>wood panel</x:v>
      </x:c>
      <x:c r="J335" t="str">
        <x:v>Kling v3.0 (Replicate)</x:v>
      </x:c>
      <x:c r="K335" t="str">
        <x:v>Structured Action-Object-Tool</x:v>
      </x:c>
      <x:c r="L335" t="str">
        <x:v>Action, tool, object, grip, contact point, start/end states.</x:v>
      </x:c>
      <x:c r="M335" t="str">
        <x:v>Close-up realistic instructional DIY video: brush polyurethane with long strokes along the grain. Show foam brush working on wood panel. Hands visible, stable camera, no text overlay, neutral shop lighting. Action=brushing; tool=foam brush; object/material=wood panel; show tool-to-object contact; start state, motion, and finished state all visible.</x:v>
      </x:c>
      <x:c r="N335" s="14" t="n">
        <x:v>10</x:v>
      </x:c>
      <x:c r="O335" s="14" t="n">
        <x:v>100563</x:v>
      </x:c>
      <x:c r="P335" t="str">
        <x:v>R-C</x:v>
      </x:c>
      <x:c r="Q335" s="12" t="n">
        <x:v>4.11</x:v>
      </x:c>
      <x:c r="R335" s="12" t="n">
        <x:v>4.17</x:v>
      </x:c>
      <x:c r="S335" s="12" t="n">
        <x:v>3.62</x:v>
      </x:c>
      <x:c r="T335" s="12" t="n">
        <x:v>4.12</x:v>
      </x:c>
      <x:c r="U335" s="12" t="n">
        <x:v>4.47</x:v>
      </x:c>
      <x:c r="V335" s="12" t="n">
        <x:v>3.53</x:v>
      </x:c>
      <x:c r="W335" s="12" t="n">
        <x:f>ROUND((Q335*0.24)+(R335*0.22)+(S335*0.16)+(T335*0.18)+(U335*0.10)+(V335*0.10),2)</x:f>
        <x:v>4.02</x:v>
      </x:c>
      <x:c r="X335" t="str">
        <x:f>IF(W335&gt;=3.55,"Pass","Fail")</x:f>
        <x:v>Pass</x:v>
      </x:c>
      <x:c r="Y335" t="str">
        <x:v>contact point hidden</x:v>
      </x:c>
      <x:c r="Z335" t="str">
        <x:v>Review note: The clip has the right ingredients but not quite the right mechanics. It needs a tighter prompt about grip, contact, and the end position. The prompt should prioritize hand path over cinematic lighting. For this woodworking example, the main judgment is still whether the viewer can copy the motion.</x:v>
      </x:c>
      <x:c r="AA335" t="str">
        <x:v>Specify the exact contact point and do not allow the hand to cover it.</x:v>
      </x:c>
      <x:c r="AB335" t="str">
        <x:v>High</x:v>
      </x:c>
      <x:c r="AC335" t="str"/>
      <x:c r="AD335" t="str">
        <x:v>Synthetic benchmark entry; generated clip URL should be filled after API run.</x:v>
      </x:c>
    </x:row>
    <x:row r="336">
      <x:c r="A336" t="str">
        <x:v>S056-Pika-STR</x:v>
      </x:c>
      <x:c r="B336" t="str">
        <x:v>S056</x:v>
      </x:c>
      <x:c r="C336" t="str">
        <x:v>Woodworking</x:v>
      </x:c>
      <x:c r="D336" t="str">
        <x:v>finishing</x:v>
      </x:c>
      <x:c r="E336" t="str">
        <x:v>brushing</x:v>
      </x:c>
      <x:c r="F336" t="n">
        <x:v>2</x:v>
      </x:c>
      <x:c r="G336" t="str">
        <x:v>brush polyurethane with long strokes along the grain</x:v>
      </x:c>
      <x:c r="H336" t="str">
        <x:v>foam brush</x:v>
      </x:c>
      <x:c r="I336" t="str">
        <x:v>wood panel</x:v>
      </x:c>
      <x:c r="J336" t="str">
        <x:v>Pika 2.2</x:v>
      </x:c>
      <x:c r="K336" t="str">
        <x:v>Structured Action-Object-Tool</x:v>
      </x:c>
      <x:c r="L336" t="str">
        <x:v>Action, tool, object, grip, contact point, start/end states.</x:v>
      </x:c>
      <x:c r="M336" t="str">
        <x:v>Close-up realistic instructional DIY video: brush polyurethane with long strokes along the grain. Show foam brush working on wood panel. Hands visible, stable camera, no text overlay, neutral shop lighting. Action=brushing; tool=foam brush; object/material=wood panel; show tool-to-object contact; start state, motion, and finished state all visible.</x:v>
      </x:c>
      <x:c r="N336" s="14" t="n">
        <x:v>5</x:v>
      </x:c>
      <x:c r="O336" s="14" t="n">
        <x:v>100564</x:v>
      </x:c>
      <x:c r="P336" t="str">
        <x:v>R-D</x:v>
      </x:c>
      <x:c r="Q336" s="12" t="n">
        <x:v>3.71</x:v>
      </x:c>
      <x:c r="R336" s="12" t="n">
        <x:v>3.86</x:v>
      </x:c>
      <x:c r="S336" s="12" t="n">
        <x:v>3.47</x:v>
      </x:c>
      <x:c r="T336" s="12" t="n">
        <x:v>3.5</x:v>
      </x:c>
      <x:c r="U336" s="12" t="n">
        <x:v>3.78</x:v>
      </x:c>
      <x:c r="V336" s="12" t="n">
        <x:v>3.67</x:v>
      </x:c>
      <x:c r="W336" s="12" t="n">
        <x:f>ROUND((Q336*0.24)+(R336*0.22)+(S336*0.16)+(T336*0.18)+(U336*0.10)+(V336*0.10),2)</x:f>
        <x:v>3.67</x:v>
      </x:c>
      <x:c r="X336" t="str">
        <x:f>IF(W336&gt;=3.55,"Pass","Fail")</x:f>
        <x:v>Pass</x:v>
      </x:c>
      <x:c r="Y336" t="str">
        <x:v>action starts too late</x:v>
      </x:c>
      <x:c r="Z336" t="str">
        <x:v>Rater note: I would keep this as a rough candidate. It communicates the step, although the failure mode makes it weaker than a real sourced clip: action starts too late. On a small preview it might pass, but full-screen review exposes the issue. For this woodworking example, the main judgment is still whether the viewer can copy the motion.</x:v>
      </x:c>
      <x:c r="AA336" t="str">
        <x:v>Ask for a static close-up and require the foam brush to touch the wood panel before any motion starts.</x:v>
      </x:c>
      <x:c r="AB336" t="str">
        <x:v>High</x:v>
      </x:c>
      <x:c r="AC336" t="str"/>
      <x:c r="AD336" t="str">
        <x:v>Synthetic benchmark entry; generated clip URL should be filled after API run.</x:v>
      </x:c>
    </x:row>
    <x:row r="337">
      <x:c r="A337" t="str">
        <x:v>S056-Vidu-STR</x:v>
      </x:c>
      <x:c r="B337" t="str">
        <x:v>S056</x:v>
      </x:c>
      <x:c r="C337" t="str">
        <x:v>Woodworking</x:v>
      </x:c>
      <x:c r="D337" t="str">
        <x:v>finishing</x:v>
      </x:c>
      <x:c r="E337" t="str">
        <x:v>brushing</x:v>
      </x:c>
      <x:c r="F337" t="n">
        <x:v>2</x:v>
      </x:c>
      <x:c r="G337" t="str">
        <x:v>brush polyurethane with long strokes along the grain</x:v>
      </x:c>
      <x:c r="H337" t="str">
        <x:v>foam brush</x:v>
      </x:c>
      <x:c r="I337" t="str">
        <x:v>wood panel</x:v>
      </x:c>
      <x:c r="J337" t="str">
        <x:v>Vidu 2.0</x:v>
      </x:c>
      <x:c r="K337" t="str">
        <x:v>Structured Action-Object-Tool</x:v>
      </x:c>
      <x:c r="L337" t="str">
        <x:v>Action, tool, object, grip, contact point, start/end states.</x:v>
      </x:c>
      <x:c r="M337" t="str">
        <x:v>Close-up realistic instructional DIY video: brush polyurethane with long strokes along the grain. Show foam brush working on wood panel. Hands visible, stable camera, no text overlay, neutral shop lighting. Action=brushing; tool=foam brush; object/material=wood panel; show tool-to-object contact; start state, motion, and finished state all visible.</x:v>
      </x:c>
      <x:c r="N337" s="14" t="n">
        <x:v>5</x:v>
      </x:c>
      <x:c r="O337" s="14" t="n">
        <x:v>100565</x:v>
      </x:c>
      <x:c r="P337" t="str">
        <x:v>R-C</x:v>
      </x:c>
      <x:c r="Q337" s="12" t="n">
        <x:v>3.86</x:v>
      </x:c>
      <x:c r="R337" s="12" t="n">
        <x:v>3.56</x:v>
      </x:c>
      <x:c r="S337" s="12" t="n">
        <x:v>3.33</x:v>
      </x:c>
      <x:c r="T337" s="12" t="n">
        <x:v>3.6</x:v>
      </x:c>
      <x:c r="U337" s="12" t="n">
        <x:v>3.3</x:v>
      </x:c>
      <x:c r="V337" s="12" t="n">
        <x:v>3.48</x:v>
      </x:c>
      <x:c r="W337" s="12" t="n">
        <x:f>ROUND((Q337*0.24)+(R337*0.22)+(S337*0.16)+(T337*0.18)+(U337*0.10)+(V337*0.10),2)</x:f>
        <x:v>3.57</x:v>
      </x:c>
      <x:c r="X337" t="str">
        <x:f>IF(W337&gt;=3.55,"Pass","Fail")</x:f>
        <x:v>Pass</x:v>
      </x:c>
      <x:c r="Y337" t="str">
        <x:v>thread direction unclear</x:v>
      </x:c>
      <x:c r="Z337" t="str">
        <x:v>Human check: I would keep this as a rough candidate. It communicates the step, although the failure mode makes it weaker than a real sourced clip: thread direction unclear. I marked it down for the key moment rather than the opening setup. For this woodworking example, the main judgment is still whether the viewer can copy the motion.</x:v>
      </x:c>
      <x:c r="AA337" t="str">
        <x:v>Use sequential context only for continuity, not for adding previous/next steps into the frame.</x:v>
      </x:c>
      <x:c r="AB337" t="str">
        <x:v>Medium-High</x:v>
      </x:c>
      <x:c r="AC337" t="str"/>
      <x:c r="AD337" t="str">
        <x:v>Planning dataset only; scores are plausible placeholders, not vendor claims.</x:v>
      </x:c>
    </x:row>
    <x:row r="338">
      <x:c r="A338" t="str">
        <x:v>S057-Veo-MET</x:v>
      </x:c>
      <x:c r="B338" t="str">
        <x:v>S057</x:v>
      </x:c>
      <x:c r="C338" t="str">
        <x:v>Woodworking</x:v>
      </x:c>
      <x:c r="D338" t="str">
        <x:v>repair</x:v>
      </x:c>
      <x:c r="E338" t="str">
        <x:v>filling</x:v>
      </x:c>
      <x:c r="F338" t="n">
        <x:v>2</x:v>
      </x:c>
      <x:c r="G338" t="str">
        <x:v>press wood filler into a countersunk screw hole</x:v>
      </x:c>
      <x:c r="H338" t="str">
        <x:v>putty knife</x:v>
      </x:c>
      <x:c r="I338" t="str">
        <x:v>wood filler, screw hole</x:v>
      </x:c>
      <x:c r="J338" t="str">
        <x:v>Veo 3.1</x:v>
      </x:c>
      <x:c r="K338" t="str">
        <x:v>Metadata-Enriched</x:v>
      </x:c>
      <x:c r="L338" t="str">
        <x:v>Uses clipDescription, clipSummary, toolNames, suppliesNames, processTechniques, safetyEquipment.</x:v>
      </x:c>
      <x:c r="M338" t="str">
        <x:v>Close-up realistic instructional DIY video: press wood filler into a countersunk screw hole. Show putty knife working on wood filler, screw hole. Hands visible, stable camera, no text overlay, neutral shop lighting. clipDescription='press wood filler into a countersunk screw hole'. clipSummary='one practical repair step'. toolNames='putty knife'. suppliesNames='wood filler, screw hole'. processTechnique='filling'. Safety cue: use normal homeowner precautions and avoid risky shortcuts.</x:v>
      </x:c>
      <x:c r="N338" s="14" t="n">
        <x:v>8</x:v>
      </x:c>
      <x:c r="O338" s="14" t="n">
        <x:v>100570</x:v>
      </x:c>
      <x:c r="P338" t="str">
        <x:v>R-D</x:v>
      </x:c>
      <x:c r="Q338" s="12" t="n">
        <x:v>4.31</x:v>
      </x:c>
      <x:c r="R338" s="12" t="n">
        <x:v>4.04</x:v>
      </x:c>
      <x:c r="S338" s="12" t="n">
        <x:v>4.56</x:v>
      </x:c>
      <x:c r="T338" s="12" t="n">
        <x:v>4.5</x:v>
      </x:c>
      <x:c r="U338" s="12" t="n">
        <x:v>4.07</x:v>
      </x:c>
      <x:c r="V338" s="12" t="n">
        <x:v>4.63</x:v>
      </x:c>
      <x:c r="W338" s="12" t="n">
        <x:f>ROUND((Q338*0.24)+(R338*0.22)+(S338*0.16)+(T338*0.18)+(U338*0.10)+(V338*0.10),2)</x:f>
        <x:v>4.33</x:v>
      </x:c>
      <x:c r="X338" t="str">
        <x:f>IF(W338&gt;=3.55,"Pass","Fail")</x:f>
        <x:v>Pass</x:v>
      </x:c>
      <x:c r="Y338" t="str">
        <x:v>none</x:v>
      </x:c>
      <x:c r="Z338" t="str">
        <x:v>Review note: This one would probably pass a quick review. The putty knife stays believable, the start and end states are easy to read, and the only nit is that over-polished camera move. The next prompt should slow the final second instead of adding more scene detail. For this woodworking example, the main judgment is still whether the viewer can copy the motion.</x:v>
      </x:c>
      <x:c r="AA338" t="str">
        <x:v>No immediate re-run; keep as candidate and verify with a second rater.</x:v>
      </x:c>
      <x:c r="AB338" t="str">
        <x:v>Medium</x:v>
      </x:c>
      <x:c r="AC338" t="str"/>
      <x:c r="AD338" t="str">
        <x:v>Synthetic benchmark entry; generated clip URL should be filled after API run.</x:v>
      </x:c>
    </x:row>
    <x:row r="339">
      <x:c r="A339" t="str">
        <x:v>S057-Sora-MET</x:v>
      </x:c>
      <x:c r="B339" t="str">
        <x:v>S057</x:v>
      </x:c>
      <x:c r="C339" t="str">
        <x:v>Woodworking</x:v>
      </x:c>
      <x:c r="D339" t="str">
        <x:v>repair</x:v>
      </x:c>
      <x:c r="E339" t="str">
        <x:v>filling</x:v>
      </x:c>
      <x:c r="F339" t="n">
        <x:v>2</x:v>
      </x:c>
      <x:c r="G339" t="str">
        <x:v>press wood filler into a countersunk screw hole</x:v>
      </x:c>
      <x:c r="H339" t="str">
        <x:v>putty knife</x:v>
      </x:c>
      <x:c r="I339" t="str">
        <x:v>wood filler, screw hole</x:v>
      </x:c>
      <x:c r="J339" t="str">
        <x:v>Sora 2 Pro</x:v>
      </x:c>
      <x:c r="K339" t="str">
        <x:v>Metadata-Enriched</x:v>
      </x:c>
      <x:c r="L339" t="str">
        <x:v>Uses clipDescription, clipSummary, toolNames, suppliesNames, processTechniques, safetyEquipment.</x:v>
      </x:c>
      <x:c r="M339" t="str">
        <x:v>Close-up realistic instructional DIY video: press wood filler into a countersunk screw hole. Show putty knife working on wood filler, screw hole. Hands visible, stable camera, no text overlay, neutral shop lighting. clipDescription='press wood filler into a countersunk screw hole'. clipSummary='one practical repair step'. toolNames='putty knife'. suppliesNames='wood filler, screw hole'. processTechnique='filling'. Safety cue: use normal homeowner precautions and avoid risky shortcuts.</x:v>
      </x:c>
      <x:c r="N339" s="14" t="n">
        <x:v>8</x:v>
      </x:c>
      <x:c r="O339" s="14" t="n">
        <x:v>100571</x:v>
      </x:c>
      <x:c r="P339" t="str">
        <x:v>R-B</x:v>
      </x:c>
      <x:c r="Q339" s="12" t="n">
        <x:v>4.81</x:v>
      </x:c>
      <x:c r="R339" s="12" t="n">
        <x:v>3.93</x:v>
      </x:c>
      <x:c r="S339" s="12" t="n">
        <x:v>4.15</x:v>
      </x:c>
      <x:c r="T339" s="12" t="n">
        <x:v>4.07</x:v>
      </x:c>
      <x:c r="U339" s="12" t="n">
        <x:v>4.48</x:v>
      </x:c>
      <x:c r="V339" s="12" t="n">
        <x:v>4.27</x:v>
      </x:c>
      <x:c r="W339" s="12" t="n">
        <x:f>ROUND((Q339*0.24)+(R339*0.22)+(S339*0.16)+(T339*0.18)+(U339*0.10)+(V339*0.10),2)</x:f>
        <x:v>4.29</x:v>
      </x:c>
      <x:c r="X339" t="str">
        <x:f>IF(W339&gt;=3.55,"Pass","Fail")</x:f>
        <x:v>Pass</x:v>
      </x:c>
      <x:c r="Y339" t="str">
        <x:v>none</x:v>
      </x:c>
      <x:c r="Z339" t="str">
        <x:v>QA note: This one would probably pass a quick review. The putty knife stays believable, the start and end states are easy to read, and the only nit is that tool rotation is a beat late. The tool silhouette is acceptable; the mechanics are the weak part. For this woodworking example, the main judgment is still whether the viewer can copy the motion.</x:v>
      </x:c>
      <x:c r="AA339" t="str">
        <x:v>No immediate re-run; keep as candidate and verify with a second rater.</x:v>
      </x:c>
      <x:c r="AB339" t="str">
        <x:v>Medium-High</x:v>
      </x:c>
      <x:c r="AC339" t="str"/>
      <x:c r="AD339" t="str">
        <x:v>Synthetic benchmark entry; generated clip URL should be filled after API run.</x:v>
      </x:c>
    </x:row>
    <x:row r="340">
      <x:c r="A340" t="str">
        <x:v>S057-Runway-MET</x:v>
      </x:c>
      <x:c r="B340" t="str">
        <x:v>S057</x:v>
      </x:c>
      <x:c r="C340" t="str">
        <x:v>Woodworking</x:v>
      </x:c>
      <x:c r="D340" t="str">
        <x:v>repair</x:v>
      </x:c>
      <x:c r="E340" t="str">
        <x:v>filling</x:v>
      </x:c>
      <x:c r="F340" t="n">
        <x:v>2</x:v>
      </x:c>
      <x:c r="G340" t="str">
        <x:v>press wood filler into a countersunk screw hole</x:v>
      </x:c>
      <x:c r="H340" t="str">
        <x:v>putty knife</x:v>
      </x:c>
      <x:c r="I340" t="str">
        <x:v>wood filler, screw hole</x:v>
      </x:c>
      <x:c r="J340" t="str">
        <x:v>Runway Gen-4.5</x:v>
      </x:c>
      <x:c r="K340" t="str">
        <x:v>Metadata-Enriched</x:v>
      </x:c>
      <x:c r="L340" t="str">
        <x:v>Uses clipDescription, clipSummary, toolNames, suppliesNames, processTechniques, safetyEquipment.</x:v>
      </x:c>
      <x:c r="M340" t="str">
        <x:v>Close-up realistic instructional DIY video: press wood filler into a countersunk screw hole. Show putty knife working on wood filler, screw hole. Hands visible, stable camera, no text overlay, neutral shop lighting. clipDescription='press wood filler into a countersunk screw hole'. clipSummary='one practical repair step'. toolNames='putty knife'. suppliesNames='wood filler, screw hole'. processTechnique='filling'. Safety cue: use normal homeowner precautions and avoid risky shortcuts.</x:v>
      </x:c>
      <x:c r="N340" s="14" t="n">
        <x:v>5</x:v>
      </x:c>
      <x:c r="O340" s="14" t="n">
        <x:v>100572</x:v>
      </x:c>
      <x:c r="P340" t="str">
        <x:v>R-C</x:v>
      </x:c>
      <x:c r="Q340" s="12" t="n">
        <x:v>3.56</x:v>
      </x:c>
      <x:c r="R340" s="12" t="n">
        <x:v>3.65</x:v>
      </x:c>
      <x:c r="S340" s="12" t="n">
        <x:v>3.74</x:v>
      </x:c>
      <x:c r="T340" s="12" t="n">
        <x:v>4.39</x:v>
      </x:c>
      <x:c r="U340" s="12" t="n">
        <x:v>3.72</x:v>
      </x:c>
      <x:c r="V340" s="12" t="n">
        <x:v>4.02</x:v>
      </x:c>
      <x:c r="W340" s="12" t="n">
        <x:f>ROUND((Q340*0.24)+(R340*0.22)+(S340*0.16)+(T340*0.18)+(U340*0.10)+(V340*0.10),2)</x:f>
        <x:v>3.82</x:v>
      </x:c>
      <x:c r="X340" t="str">
        <x:f>IF(W340&gt;=3.55,"Pass","Fail")</x:f>
        <x:v>Pass</x:v>
      </x:c>
      <x:c r="Y340" t="str">
        <x:v>contact point hidden</x:v>
      </x:c>
      <x:c r="Z340" t="str">
        <x:v>Rater note: The intention is clear, especially if you already know the step. A novice might miss the key detail because this issue appears right where the action should be most explicit: contact point hidden. The next prompt should slow the final second instead of adding more scene detail. For this woodworking example, the main judgment is still whether the viewer can copy the motion.</x:v>
      </x:c>
      <x:c r="AA340" t="str">
        <x:v>Use a reference image for the putty knife and specify its grip/orientation in plain language.</x:v>
      </x:c>
      <x:c r="AB340" t="str">
        <x:v>Medium</x:v>
      </x:c>
      <x:c r="AC340" t="str"/>
      <x:c r="AD340" t="str">
        <x:v>Mock rater record for experiment design; audit against real video outputs before publication.</x:v>
      </x:c>
    </x:row>
    <x:row r="341">
      <x:c r="A341" t="str">
        <x:v>S057-Kling-MET</x:v>
      </x:c>
      <x:c r="B341" t="str">
        <x:v>S057</x:v>
      </x:c>
      <x:c r="C341" t="str">
        <x:v>Woodworking</x:v>
      </x:c>
      <x:c r="D341" t="str">
        <x:v>repair</x:v>
      </x:c>
      <x:c r="E341" t="str">
        <x:v>filling</x:v>
      </x:c>
      <x:c r="F341" t="n">
        <x:v>2</x:v>
      </x:c>
      <x:c r="G341" t="str">
        <x:v>press wood filler into a countersunk screw hole</x:v>
      </x:c>
      <x:c r="H341" t="str">
        <x:v>putty knife</x:v>
      </x:c>
      <x:c r="I341" t="str">
        <x:v>wood filler, screw hole</x:v>
      </x:c>
      <x:c r="J341" t="str">
        <x:v>Kling v3.0 (Replicate)</x:v>
      </x:c>
      <x:c r="K341" t="str">
        <x:v>Metadata-Enriched</x:v>
      </x:c>
      <x:c r="L341" t="str">
        <x:v>Uses clipDescription, clipSummary, toolNames, suppliesNames, processTechniques, safetyEquipment.</x:v>
      </x:c>
      <x:c r="M341" t="str">
        <x:v>Close-up realistic instructional DIY video: press wood filler into a countersunk screw hole. Show putty knife working on wood filler, screw hole. Hands visible, stable camera, no text overlay, neutral shop lighting. clipDescription='press wood filler into a countersunk screw hole'. clipSummary='one practical repair step'. toolNames='putty knife'. suppliesNames='wood filler, screw hole'. processTechnique='filling'. Safety cue: use normal homeowner precautions and avoid risky shortcuts.</x:v>
      </x:c>
      <x:c r="N341" s="14" t="n">
        <x:v>10</x:v>
      </x:c>
      <x:c r="O341" s="14" t="n">
        <x:v>100573</x:v>
      </x:c>
      <x:c r="P341" t="str">
        <x:v>R-E</x:v>
      </x:c>
      <x:c r="Q341" s="12" t="n">
        <x:v>4.41</x:v>
      </x:c>
      <x:c r="R341" s="12" t="n">
        <x:v>4.05</x:v>
      </x:c>
      <x:c r="S341" s="12" t="n">
        <x:v>3.55</x:v>
      </x:c>
      <x:c r="T341" s="12" t="n">
        <x:v>4</x:v>
      </x:c>
      <x:c r="U341" s="12" t="n">
        <x:v>3.87</x:v>
      </x:c>
      <x:c r="V341" s="12" t="n">
        <x:v>3.74</x:v>
      </x:c>
      <x:c r="W341" s="12" t="n">
        <x:f>ROUND((Q341*0.24)+(R341*0.22)+(S341*0.16)+(T341*0.18)+(U341*0.10)+(V341*0.10),2)</x:f>
        <x:v>4</x:v>
      </x:c>
      <x:c r="X341" t="str">
        <x:f>IF(W341&gt;=3.55,"Pass","Fail")</x:f>
        <x:v>Pass</x:v>
      </x:c>
      <x:c r="Y341" t="str">
        <x:v>motion slightly compressed</x:v>
      </x:c>
      <x:c r="Z341" t="str">
        <x:v>Review note: I would keep this as a rough candidate. It communicates the step, although the failure mode makes it weaker than a real sourced clip: motion slightly compressed. I marked it down for the key moment rather than the opening setup. For this woodworking example, the main judgment is still whether the viewer can copy the motion.</x:v>
      </x:c>
      <x:c r="AA341" t="str">
        <x:v>Specify the exact contact point and do not allow the hand to cover it.</x:v>
      </x:c>
      <x:c r="AB341" t="str">
        <x:v>High</x:v>
      </x:c>
      <x:c r="AC341" t="str"/>
      <x:c r="AD341" t="str">
        <x:v>Simulated pilot row for planning; replace with blinded ratings after generating actual clips.</x:v>
      </x:c>
    </x:row>
    <x:row r="342">
      <x:c r="A342" t="str">
        <x:v>S057-Pika-MET</x:v>
      </x:c>
      <x:c r="B342" t="str">
        <x:v>S057</x:v>
      </x:c>
      <x:c r="C342" t="str">
        <x:v>Woodworking</x:v>
      </x:c>
      <x:c r="D342" t="str">
        <x:v>repair</x:v>
      </x:c>
      <x:c r="E342" t="str">
        <x:v>filling</x:v>
      </x:c>
      <x:c r="F342" t="n">
        <x:v>2</x:v>
      </x:c>
      <x:c r="G342" t="str">
        <x:v>press wood filler into a countersunk screw hole</x:v>
      </x:c>
      <x:c r="H342" t="str">
        <x:v>putty knife</x:v>
      </x:c>
      <x:c r="I342" t="str">
        <x:v>wood filler, screw hole</x:v>
      </x:c>
      <x:c r="J342" t="str">
        <x:v>Pika 2.2</x:v>
      </x:c>
      <x:c r="K342" t="str">
        <x:v>Metadata-Enriched</x:v>
      </x:c>
      <x:c r="L342" t="str">
        <x:v>Uses clipDescription, clipSummary, toolNames, suppliesNames, processTechniques, safetyEquipment.</x:v>
      </x:c>
      <x:c r="M342" t="str">
        <x:v>Close-up realistic instructional DIY video: press wood filler into a countersunk screw hole. Show putty knife working on wood filler, screw hole. Hands visible, stable camera, no text overlay, neutral shop lighting. clipDescription='press wood filler into a countersunk screw hole'. clipSummary='one practical repair step'. toolNames='putty knife'. suppliesNames='wood filler, screw hole'. processTechnique='filling'. Safety cue: use normal homeowner precautions and avoid risky shortcuts.</x:v>
      </x:c>
      <x:c r="N342" s="14" t="n">
        <x:v>5</x:v>
      </x:c>
      <x:c r="O342" s="14" t="n">
        <x:v>100574</x:v>
      </x:c>
      <x:c r="P342" t="str">
        <x:v>R-B</x:v>
      </x:c>
      <x:c r="Q342" s="12" t="n">
        <x:v>3.48</x:v>
      </x:c>
      <x:c r="R342" s="12" t="n">
        <x:v>3.57</x:v>
      </x:c>
      <x:c r="S342" s="12" t="n">
        <x:v>3.51</x:v>
      </x:c>
      <x:c r="T342" s="12" t="n">
        <x:v>3.42</x:v>
      </x:c>
      <x:c r="U342" s="12" t="n">
        <x:v>3.93</x:v>
      </x:c>
      <x:c r="V342" s="12" t="n">
        <x:v>3.98</x:v>
      </x:c>
      <x:c r="W342" s="12" t="n">
        <x:f>ROUND((Q342*0.24)+(R342*0.22)+(S342*0.16)+(T342*0.18)+(U342*0.10)+(V342*0.10),2)</x:f>
        <x:v>3.59</x:v>
      </x:c>
      <x:c r="X342" t="str">
        <x:f>IF(W342&gt;=3.55,"Pass","Fail")</x:f>
        <x:v>Pass</x:v>
      </x:c>
      <x:c r="Y342" t="str">
        <x:v>action starts too late</x:v>
      </x:c>
      <x:c r="Z342" t="str">
        <x:v>Review note: I would keep this as a rough candidate. It communicates the step, although the failure mode makes it weaker than a real sourced clip: action starts too late. The clip needs a verifier pass before it can enter the training pool. For this woodworking example, the main judgment is still whether the viewer can copy the motion.</x:v>
      </x:c>
      <x:c r="AA342" t="str">
        <x:v>Specify the exact contact point and do not allow the hand to cover it.</x:v>
      </x:c>
      <x:c r="AB342" t="str">
        <x:v>Medium-High</x:v>
      </x:c>
      <x:c r="AC342" t="str"/>
      <x:c r="AD342" t="str">
        <x:v>Synthetic benchmark entry; generated clip URL should be filled after API run.</x:v>
      </x:c>
    </x:row>
    <x:row r="343">
      <x:c r="A343" t="str">
        <x:v>S057-Vidu-MET</x:v>
      </x:c>
      <x:c r="B343" t="str">
        <x:v>S057</x:v>
      </x:c>
      <x:c r="C343" t="str">
        <x:v>Woodworking</x:v>
      </x:c>
      <x:c r="D343" t="str">
        <x:v>repair</x:v>
      </x:c>
      <x:c r="E343" t="str">
        <x:v>filling</x:v>
      </x:c>
      <x:c r="F343" t="n">
        <x:v>2</x:v>
      </x:c>
      <x:c r="G343" t="str">
        <x:v>press wood filler into a countersunk screw hole</x:v>
      </x:c>
      <x:c r="H343" t="str">
        <x:v>putty knife</x:v>
      </x:c>
      <x:c r="I343" t="str">
        <x:v>wood filler, screw hole</x:v>
      </x:c>
      <x:c r="J343" t="str">
        <x:v>Vidu 2.0</x:v>
      </x:c>
      <x:c r="K343" t="str">
        <x:v>Metadata-Enriched</x:v>
      </x:c>
      <x:c r="L343" t="str">
        <x:v>Uses clipDescription, clipSummary, toolNames, suppliesNames, processTechniques, safetyEquipment.</x:v>
      </x:c>
      <x:c r="M343" t="str">
        <x:v>Close-up realistic instructional DIY video: press wood filler into a countersunk screw hole. Show putty knife working on wood filler, screw hole. Hands visible, stable camera, no text overlay, neutral shop lighting. clipDescription='press wood filler into a countersunk screw hole'. clipSummary='one practical repair step'. toolNames='putty knife'. suppliesNames='wood filler, screw hole'. processTechnique='filling'. Safety cue: use normal homeowner precautions and avoid risky shortcuts.</x:v>
      </x:c>
      <x:c r="N343" s="14" t="n">
        <x:v>5</x:v>
      </x:c>
      <x:c r="O343" s="14" t="n">
        <x:v>100575</x:v>
      </x:c>
      <x:c r="P343" t="str">
        <x:v>R-A</x:v>
      </x:c>
      <x:c r="Q343" s="12" t="n">
        <x:v>3.58</x:v>
      </x:c>
      <x:c r="R343" s="12" t="n">
        <x:v>3.59</x:v>
      </x:c>
      <x:c r="S343" s="12" t="n">
        <x:v>3.79</x:v>
      </x:c>
      <x:c r="T343" s="12" t="n">
        <x:v>3.75</x:v>
      </x:c>
      <x:c r="U343" s="12" t="n">
        <x:v>3.49</x:v>
      </x:c>
      <x:c r="V343" s="12" t="n">
        <x:v>3.36</x:v>
      </x:c>
      <x:c r="W343" s="12" t="n">
        <x:f>ROUND((Q343*0.24)+(R343*0.22)+(S343*0.16)+(T343*0.18)+(U343*0.10)+(V343*0.10),2)</x:f>
        <x:v>3.62</x:v>
      </x:c>
      <x:c r="X343" t="str">
        <x:f>IF(W343&gt;=3.55,"Pass","Fail")</x:f>
        <x:v>Pass</x:v>
      </x:c>
      <x:c r="Y343" t="str">
        <x:v>thread direction unclear</x:v>
      </x:c>
      <x:c r="Z343" t="str">
        <x:v>QA note: Looks plausible at first glance. On a second pass, the wood filler, screw hole shifts slightly and the model seems to infer the outcome rather than show the full filling. This would be safer as a reference-aided run than a text-only run. For this woodworking example, the main judgment is still whether the viewer can copy the motion.</x:v>
      </x:c>
      <x:c r="AA343" t="str">
        <x:v>Ask for a static close-up and require the putty knife to touch the wood filler, screw hole before any motion starts.</x:v>
      </x:c>
      <x:c r="AB343" t="str">
        <x:v>Medium-High</x:v>
      </x:c>
      <x:c r="AC343" t="str"/>
      <x:c r="AD343" t="str">
        <x:v>Mock rater record for experiment design; audit against real video outputs before publication.</x:v>
      </x:c>
    </x:row>
    <x:row r="344">
      <x:c r="A344" t="str">
        <x:v>S058-Veo-REF</x:v>
      </x:c>
      <x:c r="B344" t="str">
        <x:v>S058</x:v>
      </x:c>
      <x:c r="C344" t="str">
        <x:v>Woodworking</x:v>
      </x:c>
      <x:c r="D344" t="str">
        <x:v>assembly</x:v>
      </x:c>
      <x:c r="E344" t="str">
        <x:v>checking</x:v>
      </x:c>
      <x:c r="F344" t="n">
        <x:v>3</x:v>
      </x:c>
      <x:c r="G344" t="str">
        <x:v>check a frame corner for square using diagonal measurements</x:v>
      </x:c>
      <x:c r="H344" t="str">
        <x:v>tape measure</x:v>
      </x:c>
      <x:c r="I344" t="str">
        <x:v>wood frame</x:v>
      </x:c>
      <x:c r="J344" t="str">
        <x:v>Veo 3.1</x:v>
      </x:c>
      <x:c r="K344" t="str">
        <x:v>Reference-Guided</x:v>
      </x:c>
      <x:c r="L344" t="str">
        <x:v>Adds reference-tool/image cue and brand-agnostic visual constraints.</x:v>
      </x:c>
      <x:c r="M344" t="str">
        <x:v>Close-up realistic instructional DIY video: check a frame corner for square using diagonal measurements. Show tape measure working on wood frame. Hands visible, stable camera, no text overlay, neutral shop lighting. Use a generic, brand-agnostic visual reference for the tape measure; preserve the tool shape and scale; the tape measure must remain in contact with wood frame during the key motion.</x:v>
      </x:c>
      <x:c r="N344" s="14" t="n">
        <x:v>8</x:v>
      </x:c>
      <x:c r="O344" s="14" t="n">
        <x:v>100580</x:v>
      </x:c>
      <x:c r="P344" t="str">
        <x:v>R-E</x:v>
      </x:c>
      <x:c r="Q344" s="12" t="n">
        <x:v>4.82</x:v>
      </x:c>
      <x:c r="R344" s="12" t="n">
        <x:v>4.92</x:v>
      </x:c>
      <x:c r="S344" s="12" t="n">
        <x:v>4.35</x:v>
      </x:c>
      <x:c r="T344" s="12" t="n">
        <x:v>4.46</x:v>
      </x:c>
      <x:c r="U344" s="12" t="n">
        <x:v>3.86</x:v>
      </x:c>
      <x:c r="V344" s="12" t="n">
        <x:v>4.28</x:v>
      </x:c>
      <x:c r="W344" s="12" t="n">
        <x:f>ROUND((Q344*0.24)+(R344*0.22)+(S344*0.16)+(T344*0.18)+(U344*0.10)+(V344*0.10),2)</x:f>
        <x:v>4.55</x:v>
      </x:c>
      <x:c r="X344" t="str">
        <x:f>IF(W344&gt;=3.55,"Pass","Fail")</x:f>
        <x:v>Pass</x:v>
      </x:c>
      <x:c r="Y344" t="str">
        <x:v>small hand occlusion</x:v>
      </x:c>
      <x:c r="Z344" t="str">
        <x:v>Rater note: This one would probably pass a quick review. The tape measure stays believable, the start and end states are easy to read, and the only nit is that occasional extra hand. The clip needs a verifier pass before it can enter the training pool. For this woodworking example, the main judgment is still whether the viewer can copy the motion.</x:v>
      </x:c>
      <x:c r="AA344" t="str">
        <x:v>Use a reference image for the tape measure and specify its grip/orientation in plain language.</x:v>
      </x:c>
      <x:c r="AB344" t="str">
        <x:v>Medium-High</x:v>
      </x:c>
      <x:c r="AC344" t="str"/>
      <x:c r="AD344" t="str">
        <x:v>Simulated pilot row for planning; replace with blinded ratings after generating actual clips.</x:v>
      </x:c>
    </x:row>
    <x:row r="345">
      <x:c r="A345" t="str">
        <x:v>S058-Sora-REF</x:v>
      </x:c>
      <x:c r="B345" t="str">
        <x:v>S058</x:v>
      </x:c>
      <x:c r="C345" t="str">
        <x:v>Woodworking</x:v>
      </x:c>
      <x:c r="D345" t="str">
        <x:v>assembly</x:v>
      </x:c>
      <x:c r="E345" t="str">
        <x:v>checking</x:v>
      </x:c>
      <x:c r="F345" t="n">
        <x:v>3</x:v>
      </x:c>
      <x:c r="G345" t="str">
        <x:v>check a frame corner for square using diagonal measurements</x:v>
      </x:c>
      <x:c r="H345" t="str">
        <x:v>tape measure</x:v>
      </x:c>
      <x:c r="I345" t="str">
        <x:v>wood frame</x:v>
      </x:c>
      <x:c r="J345" t="str">
        <x:v>Sora 2 Pro</x:v>
      </x:c>
      <x:c r="K345" t="str">
        <x:v>Reference-Guided</x:v>
      </x:c>
      <x:c r="L345" t="str">
        <x:v>Adds reference-tool/image cue and brand-agnostic visual constraints.</x:v>
      </x:c>
      <x:c r="M345" t="str">
        <x:v>Close-up realistic instructional DIY video: check a frame corner for square using diagonal measurements. Show tape measure working on wood frame. Hands visible, stable camera, no text overlay, neutral shop lighting. Use a generic, brand-agnostic visual reference for the tape measure; preserve the tool shape and scale; the tape measure must remain in contact with wood frame during the key motion.</x:v>
      </x:c>
      <x:c r="N345" s="14" t="n">
        <x:v>8</x:v>
      </x:c>
      <x:c r="O345" s="14" t="n">
        <x:v>100581</x:v>
      </x:c>
      <x:c r="P345" t="str">
        <x:v>R-B</x:v>
      </x:c>
      <x:c r="Q345" s="12" t="n">
        <x:v>4.7</x:v>
      </x:c>
      <x:c r="R345" s="12" t="n">
        <x:v>4.34</x:v>
      </x:c>
      <x:c r="S345" s="12" t="n">
        <x:v>4.32</x:v>
      </x:c>
      <x:c r="T345" s="12" t="n">
        <x:v>4.75</x:v>
      </x:c>
      <x:c r="U345" s="12" t="n">
        <x:v>4.15</x:v>
      </x:c>
      <x:c r="V345" s="12" t="n">
        <x:v>4.31</x:v>
      </x:c>
      <x:c r="W345" s="12" t="n">
        <x:f>ROUND((Q345*0.24)+(R345*0.22)+(S345*0.16)+(T345*0.18)+(U345*0.10)+(V345*0.10),2)</x:f>
        <x:v>4.48</x:v>
      </x:c>
      <x:c r="X345" t="str">
        <x:f>IF(W345&gt;=3.55,"Pass","Fail")</x:f>
        <x:v>Pass</x:v>
      </x:c>
      <x:c r="Y345" t="str">
        <x:v>minor continuity jump</x:v>
      </x:c>
      <x:c r="Z345" t="str">
        <x:v>Rater note: Good continuity from frame to frame. The tape measure makes visual contact with the workpiece and the motion does not feel invented. The tool silhouette is acceptable; the mechanics are the weak part. For this woodworking example, the main judgment is still whether the viewer can copy the motion.</x:v>
      </x:c>
      <x:c r="AA345" t="str">
        <x:v>Use a reference image for the tape measure and specify its grip/orientation in plain language.</x:v>
      </x:c>
      <x:c r="AB345" t="str">
        <x:v>Medium</x:v>
      </x:c>
      <x:c r="AC345" t="str"/>
      <x:c r="AD345" t="str">
        <x:v>Mock rater record for experiment design; audit against real video outputs before publication.</x:v>
      </x:c>
    </x:row>
    <x:row r="346">
      <x:c r="A346" t="str">
        <x:v>S058-Runway-REF</x:v>
      </x:c>
      <x:c r="B346" t="str">
        <x:v>S058</x:v>
      </x:c>
      <x:c r="C346" t="str">
        <x:v>Woodworking</x:v>
      </x:c>
      <x:c r="D346" t="str">
        <x:v>assembly</x:v>
      </x:c>
      <x:c r="E346" t="str">
        <x:v>checking</x:v>
      </x:c>
      <x:c r="F346" t="n">
        <x:v>3</x:v>
      </x:c>
      <x:c r="G346" t="str">
        <x:v>check a frame corner for square using diagonal measurements</x:v>
      </x:c>
      <x:c r="H346" t="str">
        <x:v>tape measure</x:v>
      </x:c>
      <x:c r="I346" t="str">
        <x:v>wood frame</x:v>
      </x:c>
      <x:c r="J346" t="str">
        <x:v>Runway Gen-4.5</x:v>
      </x:c>
      <x:c r="K346" t="str">
        <x:v>Reference-Guided</x:v>
      </x:c>
      <x:c r="L346" t="str">
        <x:v>Adds reference-tool/image cue and brand-agnostic visual constraints.</x:v>
      </x:c>
      <x:c r="M346" t="str">
        <x:v>Close-up realistic instructional DIY video: check a frame corner for square using diagonal measurements. Show tape measure working on wood frame. Hands visible, stable camera, no text overlay, neutral shop lighting. Use a generic, brand-agnostic visual reference for the tape measure; preserve the tool shape and scale; the tape measure must remain in contact with wood frame during the key motion.</x:v>
      </x:c>
      <x:c r="N346" s="14" t="n">
        <x:v>5</x:v>
      </x:c>
      <x:c r="O346" s="14" t="n">
        <x:v>100582</x:v>
      </x:c>
      <x:c r="P346" t="str">
        <x:v>R-E</x:v>
      </x:c>
      <x:c r="Q346" s="12" t="n">
        <x:v>3.97</x:v>
      </x:c>
      <x:c r="R346" s="12" t="n">
        <x:v>3.75</x:v>
      </x:c>
      <x:c r="S346" s="12" t="n">
        <x:v>4.75</x:v>
      </x:c>
      <x:c r="T346" s="12" t="n">
        <x:v>3.57</x:v>
      </x:c>
      <x:c r="U346" s="12" t="n">
        <x:v>4.09</x:v>
      </x:c>
      <x:c r="V346" s="12" t="n">
        <x:v>4.07</x:v>
      </x:c>
      <x:c r="W346" s="12" t="n">
        <x:f>ROUND((Q346*0.24)+(R346*0.22)+(S346*0.16)+(T346*0.18)+(U346*0.10)+(V346*0.10),2)</x:f>
        <x:v>4</x:v>
      </x:c>
      <x:c r="X346" t="str">
        <x:f>IF(W346&gt;=3.55,"Pass","Fail")</x:f>
        <x:v>Pass</x:v>
      </x:c>
      <x:c r="Y346" t="str">
        <x:v>contact point hidden</x:v>
      </x:c>
      <x:c r="Z346" t="str">
        <x:v>Clip review: The clip has the right ingredients but not quite the right mechanics. It needs a tighter prompt about grip, contact, and the end position. This reads better as a teaser than as an instructional clip. For this woodworking example, the main judgment is still whether the viewer can copy the motion.</x:v>
      </x:c>
      <x:c r="AA346" t="str">
        <x:v>Break the action into start, contact, movement, and finish; ban extra tools and hand morphing.</x:v>
      </x:c>
      <x:c r="AB346" t="str">
        <x:v>Medium-High</x:v>
      </x:c>
      <x:c r="AC346" t="str"/>
      <x:c r="AD346" t="str">
        <x:v>Synthetic benchmark entry; generated clip URL should be filled after API run.</x:v>
      </x:c>
    </x:row>
    <x:row r="347">
      <x:c r="A347" t="str">
        <x:v>S058-Kling-REF</x:v>
      </x:c>
      <x:c r="B347" t="str">
        <x:v>S058</x:v>
      </x:c>
      <x:c r="C347" t="str">
        <x:v>Woodworking</x:v>
      </x:c>
      <x:c r="D347" t="str">
        <x:v>assembly</x:v>
      </x:c>
      <x:c r="E347" t="str">
        <x:v>checking</x:v>
      </x:c>
      <x:c r="F347" t="n">
        <x:v>3</x:v>
      </x:c>
      <x:c r="G347" t="str">
        <x:v>check a frame corner for square using diagonal measurements</x:v>
      </x:c>
      <x:c r="H347" t="str">
        <x:v>tape measure</x:v>
      </x:c>
      <x:c r="I347" t="str">
        <x:v>wood frame</x:v>
      </x:c>
      <x:c r="J347" t="str">
        <x:v>Kling v3.0 (Replicate)</x:v>
      </x:c>
      <x:c r="K347" t="str">
        <x:v>Reference-Guided</x:v>
      </x:c>
      <x:c r="L347" t="str">
        <x:v>Adds reference-tool/image cue and brand-agnostic visual constraints.</x:v>
      </x:c>
      <x:c r="M347" t="str">
        <x:v>Close-up realistic instructional DIY video: check a frame corner for square using diagonal measurements. Show tape measure working on wood frame. Hands visible, stable camera, no text overlay, neutral shop lighting. Use a generic, brand-agnostic visual reference for the tape measure; preserve the tool shape and scale; the tape measure must remain in contact with wood frame during the key motion.</x:v>
      </x:c>
      <x:c r="N347" s="14" t="n">
        <x:v>10</x:v>
      </x:c>
      <x:c r="O347" s="14" t="n">
        <x:v>100583</x:v>
      </x:c>
      <x:c r="P347" t="str">
        <x:v>R-A</x:v>
      </x:c>
      <x:c r="Q347" s="12" t="n">
        <x:v>3.75</x:v>
      </x:c>
      <x:c r="R347" s="12" t="n">
        <x:v>3.47</x:v>
      </x:c>
      <x:c r="S347" s="12" t="n">
        <x:v>3.66</x:v>
      </x:c>
      <x:c r="T347" s="12" t="n">
        <x:v>3.69</x:v>
      </x:c>
      <x:c r="U347" s="12" t="n">
        <x:v>4.24</x:v>
      </x:c>
      <x:c r="V347" s="12" t="n">
        <x:v>4.38</x:v>
      </x:c>
      <x:c r="W347" s="12" t="n">
        <x:f>ROUND((Q347*0.24)+(R347*0.22)+(S347*0.16)+(T347*0.18)+(U347*0.10)+(V347*0.10),2)</x:f>
        <x:v>3.78</x:v>
      </x:c>
      <x:c r="X347" t="str">
        <x:f>IF(W347&gt;=3.55,"Pass","Fail")</x:f>
        <x:v>Pass</x:v>
      </x:c>
      <x:c r="Y347" t="str">
        <x:v>tool pose a little soft</x:v>
      </x:c>
      <x:c r="Z347" t="str">
        <x:v>Human check: Looks plausible at first glance. On a second pass, the wood frame shifts slightly and the model seems to infer the outcome rather than show the full checking. This reads better as a teaser than as an instructional clip. For this woodworking example, the main judgment is still whether the viewer can copy the motion.</x:v>
      </x:c>
      <x:c r="AA347" t="str">
        <x:v>Use sequential context only for continuity, not for adding previous/next steps into the frame.</x:v>
      </x:c>
      <x:c r="AB347" t="str">
        <x:v>Medium</x:v>
      </x:c>
      <x:c r="AC347" t="str"/>
      <x:c r="AD347" t="str">
        <x:v>Mock rater record for experiment design; audit against real video outputs before publication.</x:v>
      </x:c>
    </x:row>
    <x:row r="348">
      <x:c r="A348" t="str">
        <x:v>S058-Pika-REF</x:v>
      </x:c>
      <x:c r="B348" t="str">
        <x:v>S058</x:v>
      </x:c>
      <x:c r="C348" t="str">
        <x:v>Woodworking</x:v>
      </x:c>
      <x:c r="D348" t="str">
        <x:v>assembly</x:v>
      </x:c>
      <x:c r="E348" t="str">
        <x:v>checking</x:v>
      </x:c>
      <x:c r="F348" t="n">
        <x:v>3</x:v>
      </x:c>
      <x:c r="G348" t="str">
        <x:v>check a frame corner for square using diagonal measurements</x:v>
      </x:c>
      <x:c r="H348" t="str">
        <x:v>tape measure</x:v>
      </x:c>
      <x:c r="I348" t="str">
        <x:v>wood frame</x:v>
      </x:c>
      <x:c r="J348" t="str">
        <x:v>Pika 2.2</x:v>
      </x:c>
      <x:c r="K348" t="str">
        <x:v>Reference-Guided</x:v>
      </x:c>
      <x:c r="L348" t="str">
        <x:v>Adds reference-tool/image cue and brand-agnostic visual constraints.</x:v>
      </x:c>
      <x:c r="M348" t="str">
        <x:v>Close-up realistic instructional DIY video: check a frame corner for square using diagonal measurements. Show tape measure working on wood frame. Hands visible, stable camera, no text overlay, neutral shop lighting. Use a generic, brand-agnostic visual reference for the tape measure; preserve the tool shape and scale; the tape measure must remain in contact with wood frame during the key motion.</x:v>
      </x:c>
      <x:c r="N348" s="14" t="n">
        <x:v>5</x:v>
      </x:c>
      <x:c r="O348" s="14" t="n">
        <x:v>100584</x:v>
      </x:c>
      <x:c r="P348" t="str">
        <x:v>R-E</x:v>
      </x:c>
      <x:c r="Q348" s="12" t="n">
        <x:v>3.2</x:v>
      </x:c>
      <x:c r="R348" s="12" t="n">
        <x:v>3.31</x:v>
      </x:c>
      <x:c r="S348" s="12" t="n">
        <x:v>4.48</x:v>
      </x:c>
      <x:c r="T348" s="12" t="n">
        <x:v>3.82</x:v>
      </x:c>
      <x:c r="U348" s="12" t="n">
        <x:v>3.05</x:v>
      </x:c>
      <x:c r="V348" s="12" t="n">
        <x:v>3.52</x:v>
      </x:c>
      <x:c r="W348" s="12" t="n">
        <x:f>ROUND((Q348*0.24)+(R348*0.22)+(S348*0.16)+(T348*0.18)+(U348*0.10)+(V348*0.10),2)</x:f>
        <x:v>3.56</x:v>
      </x:c>
      <x:c r="X348" t="str">
        <x:f>IF(W348&gt;=3.55,"Pass","Fail")</x:f>
        <x:v>Pass</x:v>
      </x:c>
      <x:c r="Y348" t="str">
        <x:v>tool floats near object</x:v>
      </x:c>
      <x:c r="Z348" t="str">
        <x:v>Human check: I would keep this as a rough candidate. It communicates the step, although the failure mode makes it weaker than a real sourced clip: tool floats near object. The clip needs a verifier pass before it can enter the training pool. For this woodworking example, the main judgment is still whether the viewer can copy the motion.</x:v>
      </x:c>
      <x:c r="AA348" t="str">
        <x:v>Specify the exact contact point and do not allow the hand to cover it.</x:v>
      </x:c>
      <x:c r="AB348" t="str">
        <x:v>Medium-High</x:v>
      </x:c>
      <x:c r="AC348" t="str"/>
      <x:c r="AD348" t="str">
        <x:v>Simulated pilot row for planning; replace with blinded ratings after generating actual clips.</x:v>
      </x:c>
    </x:row>
    <x:row r="349">
      <x:c r="A349" t="str">
        <x:v>S058-Vidu-REF</x:v>
      </x:c>
      <x:c r="B349" t="str">
        <x:v>S058</x:v>
      </x:c>
      <x:c r="C349" t="str">
        <x:v>Woodworking</x:v>
      </x:c>
      <x:c r="D349" t="str">
        <x:v>assembly</x:v>
      </x:c>
      <x:c r="E349" t="str">
        <x:v>checking</x:v>
      </x:c>
      <x:c r="F349" t="n">
        <x:v>3</x:v>
      </x:c>
      <x:c r="G349" t="str">
        <x:v>check a frame corner for square using diagonal measurements</x:v>
      </x:c>
      <x:c r="H349" t="str">
        <x:v>tape measure</x:v>
      </x:c>
      <x:c r="I349" t="str">
        <x:v>wood frame</x:v>
      </x:c>
      <x:c r="J349" t="str">
        <x:v>Vidu 2.0</x:v>
      </x:c>
      <x:c r="K349" t="str">
        <x:v>Reference-Guided</x:v>
      </x:c>
      <x:c r="L349" t="str">
        <x:v>Adds reference-tool/image cue and brand-agnostic visual constraints.</x:v>
      </x:c>
      <x:c r="M349" t="str">
        <x:v>Close-up realistic instructional DIY video: check a frame corner for square using diagonal measurements. Show tape measure working on wood frame. Hands visible, stable camera, no text overlay, neutral shop lighting. Use a generic, brand-agnostic visual reference for the tape measure; preserve the tool shape and scale; the tape measure must remain in contact with wood frame during the key motion.</x:v>
      </x:c>
      <x:c r="N349" s="14" t="n">
        <x:v>5</x:v>
      </x:c>
      <x:c r="O349" s="14" t="n">
        <x:v>100585</x:v>
      </x:c>
      <x:c r="P349" t="str">
        <x:v>R-D</x:v>
      </x:c>
      <x:c r="Q349" s="12" t="n">
        <x:v>2.88</x:v>
      </x:c>
      <x:c r="R349" s="12" t="n">
        <x:v>3.32</x:v>
      </x:c>
      <x:c r="S349" s="12" t="n">
        <x:v>3.04</x:v>
      </x:c>
      <x:c r="T349" s="12" t="n">
        <x:v>3.02</x:v>
      </x:c>
      <x:c r="U349" s="12" t="n">
        <x:v>3.27</x:v>
      </x:c>
      <x:c r="V349" s="12" t="n">
        <x:v>3.51</x:v>
      </x:c>
      <x:c r="W349" s="12" t="n">
        <x:f>ROUND((Q349*0.24)+(R349*0.22)+(S349*0.16)+(T349*0.18)+(U349*0.10)+(V349*0.10),2)</x:f>
        <x:v>3.13</x:v>
      </x:c>
      <x:c r="X349" t="str">
        <x:f>IF(W349&gt;=3.55,"Pass","Fail")</x:f>
        <x:v>Fail</x:v>
      </x:c>
      <x:c r="Y349" t="str">
        <x:v>over-stylized texture</x:v>
      </x:c>
      <x:c r="Z349" t="str">
        <x:v>Clip review: Too much is being implied. The tape measure and wood frame are in the scene, but the motion does not demonstrate the actual repair step. The most important fix is to show the before-and-after state without a cut. For this woodworking example, the main judgment is still whether the viewer can copy the motion.</x:v>
      </x:c>
      <x:c r="AA349" t="str">
        <x:v>Ask for a static close-up and require the tape measure to touch the wood frame before any motion starts.</x:v>
      </x:c>
      <x:c r="AB349" t="str">
        <x:v>High</x:v>
      </x:c>
      <x:c r="AC349" t="str"/>
      <x:c r="AD349" t="str">
        <x:v>Simulated pilot row for planning; replace with blinded ratings after generating actual clips.</x:v>
      </x:c>
    </x:row>
    <x:row r="350">
      <x:c r="A350" t="str">
        <x:v>S059-Veo-SEQ</x:v>
      </x:c>
      <x:c r="B350" t="str">
        <x:v>S059</x:v>
      </x:c>
      <x:c r="C350" t="str">
        <x:v>Woodworking</x:v>
      </x:c>
      <x:c r="D350" t="str">
        <x:v>cutting</x:v>
      </x:c>
      <x:c r="E350" t="str">
        <x:v>scoring</x:v>
      </x:c>
      <x:c r="F350" t="n">
        <x:v>3</x:v>
      </x:c>
      <x:c r="G350" t="str">
        <x:v>score a veneer cut line before sawing</x:v>
      </x:c>
      <x:c r="H350" t="str">
        <x:v>utility knife</x:v>
      </x:c>
      <x:c r="I350" t="str">
        <x:v>veneer sheet</x:v>
      </x:c>
      <x:c r="J350" t="str">
        <x:v>Veo 3.1</x:v>
      </x:c>
      <x:c r="K350" t="str">
        <x:v>Sequential Context</x:v>
      </x:c>
      <x:c r="L350" t="str">
        <x:v>Provides previous and next step for continuity without asking for them to appear.</x:v>
      </x:c>
      <x:c r="M350" t="str">
        <x:v>Close-up realistic instructional DIY video: score a veneer cut line before sawing. Show utility knife working on veneer sheet. Hands visible, stable camera, no text overlay, neutral shop lighting. This is the middle clip in a sequence. Previous step has already prepared the work area; next step will verify the result. Keep the same workpiece, camera distance, and hand orientation.</x:v>
      </x:c>
      <x:c r="N350" s="14" t="n">
        <x:v>8</x:v>
      </x:c>
      <x:c r="O350" s="14" t="n">
        <x:v>100590</x:v>
      </x:c>
      <x:c r="P350" t="str">
        <x:v>R-A</x:v>
      </x:c>
      <x:c r="Q350" s="12" t="n">
        <x:v>4.19</x:v>
      </x:c>
      <x:c r="R350" s="12" t="n">
        <x:v>4.22</x:v>
      </x:c>
      <x:c r="S350" s="12" t="n">
        <x:v>4.66</x:v>
      </x:c>
      <x:c r="T350" s="12" t="n">
        <x:v>4.75</x:v>
      </x:c>
      <x:c r="U350" s="12" t="n">
        <x:v>4.76</x:v>
      </x:c>
      <x:c r="V350" s="12" t="n">
        <x:v>4.39</x:v>
      </x:c>
      <x:c r="W350" s="12" t="n">
        <x:f>ROUND((Q350*0.24)+(R350*0.22)+(S350*0.16)+(T350*0.18)+(U350*0.10)+(V350*0.10),2)</x:f>
        <x:v>4.45</x:v>
      </x:c>
      <x:c r="X350" t="str">
        <x:f>IF(W350&gt;=3.55,"Pass","Fail")</x:f>
        <x:v>Pass</x:v>
      </x:c>
      <x:c r="Y350" t="str">
        <x:v>none</x:v>
      </x:c>
      <x:c r="Z350" t="str">
        <x:v>Review note: This one would probably pass a quick review. The utility knife stays believable, the start and end states are easy to read, and the only nit is that over-polished camera move. The prompt should prioritize hand path over cinematic lighting. Continuity is useful here, but it cannot replace showing the actual contact point.</x:v>
      </x:c>
      <x:c r="AA350" t="str">
        <x:v>No immediate re-run; keep as candidate and verify with a second rater.</x:v>
      </x:c>
      <x:c r="AB350" t="str">
        <x:v>High</x:v>
      </x:c>
      <x:c r="AC350" t="str"/>
      <x:c r="AD350" t="str">
        <x:v>Planning dataset only; scores are plausible placeholders, not vendor claims.</x:v>
      </x:c>
    </x:row>
    <x:row r="351">
      <x:c r="A351" t="str">
        <x:v>S059-Sora-SEQ</x:v>
      </x:c>
      <x:c r="B351" t="str">
        <x:v>S059</x:v>
      </x:c>
      <x:c r="C351" t="str">
        <x:v>Woodworking</x:v>
      </x:c>
      <x:c r="D351" t="str">
        <x:v>cutting</x:v>
      </x:c>
      <x:c r="E351" t="str">
        <x:v>scoring</x:v>
      </x:c>
      <x:c r="F351" t="n">
        <x:v>3</x:v>
      </x:c>
      <x:c r="G351" t="str">
        <x:v>score a veneer cut line before sawing</x:v>
      </x:c>
      <x:c r="H351" t="str">
        <x:v>utility knife</x:v>
      </x:c>
      <x:c r="I351" t="str">
        <x:v>veneer sheet</x:v>
      </x:c>
      <x:c r="J351" t="str">
        <x:v>Sora 2 Pro</x:v>
      </x:c>
      <x:c r="K351" t="str">
        <x:v>Sequential Context</x:v>
      </x:c>
      <x:c r="L351" t="str">
        <x:v>Provides previous and next step for continuity without asking for them to appear.</x:v>
      </x:c>
      <x:c r="M351" t="str">
        <x:v>Close-up realistic instructional DIY video: score a veneer cut line before sawing. Show utility knife working on veneer sheet. Hands visible, stable camera, no text overlay, neutral shop lighting. This is the middle clip in a sequence. Previous step has already prepared the work area; next step will verify the result. Keep the same workpiece, camera distance, and hand orientation.</x:v>
      </x:c>
      <x:c r="N351" s="14" t="n">
        <x:v>8</x:v>
      </x:c>
      <x:c r="O351" s="14" t="n">
        <x:v>100591</x:v>
      </x:c>
      <x:c r="P351" t="str">
        <x:v>R-D</x:v>
      </x:c>
      <x:c r="Q351" s="12" t="n">
        <x:v>3.96</x:v>
      </x:c>
      <x:c r="R351" s="12" t="n">
        <x:v>3.99</x:v>
      </x:c>
      <x:c r="S351" s="12" t="n">
        <x:v>3.91</x:v>
      </x:c>
      <x:c r="T351" s="12" t="n">
        <x:v>4.09</x:v>
      </x:c>
      <x:c r="U351" s="12" t="n">
        <x:v>4</x:v>
      </x:c>
      <x:c r="V351" s="12" t="n">
        <x:v>3.62</x:v>
      </x:c>
      <x:c r="W351" s="12" t="n">
        <x:f>ROUND((Q351*0.24)+(R351*0.22)+(S351*0.16)+(T351*0.18)+(U351*0.10)+(V351*0.10),2)</x:f>
        <x:v>3.95</x:v>
      </x:c>
      <x:c r="X351" t="str">
        <x:f>IF(W351&gt;=3.55,"Pass","Fail")</x:f>
        <x:v>Pass</x:v>
      </x:c>
      <x:c r="Y351" t="str">
        <x:v>contact point hidden</x:v>
      </x:c>
      <x:c r="Z351" t="str">
        <x:v>Rater note: Looks plausible at first glance. On a second pass, the veneer sheet shifts slightly and the model seems to infer the outcome rather than show the full scoring. The prompt should prioritize hand path over cinematic lighting. Continuity is useful here, but it cannot replace showing the actual contact point.</x:v>
      </x:c>
      <x:c r="AA351" t="str">
        <x:v>Ask for a static close-up and require the utility knife to touch the veneer sheet before any motion starts.</x:v>
      </x:c>
      <x:c r="AB351" t="str">
        <x:v>High</x:v>
      </x:c>
      <x:c r="AC351" t="str"/>
      <x:c r="AD351" t="str">
        <x:v>Simulated pilot row for planning; replace with blinded ratings after generating actual clips.</x:v>
      </x:c>
    </x:row>
    <x:row r="352">
      <x:c r="A352" t="str">
        <x:v>S059-Runway-SEQ</x:v>
      </x:c>
      <x:c r="B352" t="str">
        <x:v>S059</x:v>
      </x:c>
      <x:c r="C352" t="str">
        <x:v>Woodworking</x:v>
      </x:c>
      <x:c r="D352" t="str">
        <x:v>cutting</x:v>
      </x:c>
      <x:c r="E352" t="str">
        <x:v>scoring</x:v>
      </x:c>
      <x:c r="F352" t="n">
        <x:v>3</x:v>
      </x:c>
      <x:c r="G352" t="str">
        <x:v>score a veneer cut line before sawing</x:v>
      </x:c>
      <x:c r="H352" t="str">
        <x:v>utility knife</x:v>
      </x:c>
      <x:c r="I352" t="str">
        <x:v>veneer sheet</x:v>
      </x:c>
      <x:c r="J352" t="str">
        <x:v>Runway Gen-4.5</x:v>
      </x:c>
      <x:c r="K352" t="str">
        <x:v>Sequential Context</x:v>
      </x:c>
      <x:c r="L352" t="str">
        <x:v>Provides previous and next step for continuity without asking for them to appear.</x:v>
      </x:c>
      <x:c r="M352" t="str">
        <x:v>Close-up realistic instructional DIY video: score a veneer cut line before sawing. Show utility knife working on veneer sheet. Hands visible, stable camera, no text overlay, neutral shop lighting. This is the middle clip in a sequence. Previous step has already prepared the work area; next step will verify the result. Keep the same workpiece, camera distance, and hand orientation.</x:v>
      </x:c>
      <x:c r="N352" s="14" t="n">
        <x:v>5</x:v>
      </x:c>
      <x:c r="O352" s="14" t="n">
        <x:v>100592</x:v>
      </x:c>
      <x:c r="P352" t="str">
        <x:v>R-C</x:v>
      </x:c>
      <x:c r="Q352" s="12" t="n">
        <x:v>3.7</x:v>
      </x:c>
      <x:c r="R352" s="12" t="n">
        <x:v>3.62</x:v>
      </x:c>
      <x:c r="S352" s="12" t="n">
        <x:v>3.86</x:v>
      </x:c>
      <x:c r="T352" s="12" t="n">
        <x:v>4.02</x:v>
      </x:c>
      <x:c r="U352" s="12" t="n">
        <x:v>4.16</x:v>
      </x:c>
      <x:c r="V352" s="12" t="n">
        <x:v>4.55</x:v>
      </x:c>
      <x:c r="W352" s="12" t="n">
        <x:f>ROUND((Q352*0.24)+(R352*0.22)+(S352*0.16)+(T352*0.18)+(U352*0.10)+(V352*0.10),2)</x:f>
        <x:v>3.9</x:v>
      </x:c>
      <x:c r="X352" t="str">
        <x:f>IF(W352&gt;=3.55,"Pass","Fail")</x:f>
        <x:v>Pass</x:v>
      </x:c>
      <x:c r="Y352" t="str">
        <x:v>endpoint not visible</x:v>
      </x:c>
      <x:c r="Z352" t="str">
        <x:v>Review note: Looks plausible at first glance. On a second pass, the veneer sheet shifts slightly and the model seems to infer the outcome rather than show the full scoring. The issue is subtle visually, but it matters because the clip is supposed to teach the technique. Continuity is useful here, but it cannot replace showing the actual contact point.</x:v>
      </x:c>
      <x:c r="AA352" t="str">
        <x:v>Use sequential context only for continuity, not for adding previous/next steps into the frame.</x:v>
      </x:c>
      <x:c r="AB352" t="str">
        <x:v>High</x:v>
      </x:c>
      <x:c r="AC352" t="str"/>
      <x:c r="AD352" t="str">
        <x:v>Simulated pilot row for planning; replace with blinded ratings after generating actual clips.</x:v>
      </x:c>
    </x:row>
    <x:row r="353">
      <x:c r="A353" t="str">
        <x:v>S059-Kling-SEQ</x:v>
      </x:c>
      <x:c r="B353" t="str">
        <x:v>S059</x:v>
      </x:c>
      <x:c r="C353" t="str">
        <x:v>Woodworking</x:v>
      </x:c>
      <x:c r="D353" t="str">
        <x:v>cutting</x:v>
      </x:c>
      <x:c r="E353" t="str">
        <x:v>scoring</x:v>
      </x:c>
      <x:c r="F353" t="n">
        <x:v>3</x:v>
      </x:c>
      <x:c r="G353" t="str">
        <x:v>score a veneer cut line before sawing</x:v>
      </x:c>
      <x:c r="H353" t="str">
        <x:v>utility knife</x:v>
      </x:c>
      <x:c r="I353" t="str">
        <x:v>veneer sheet</x:v>
      </x:c>
      <x:c r="J353" t="str">
        <x:v>Kling v3.0 (Replicate)</x:v>
      </x:c>
      <x:c r="K353" t="str">
        <x:v>Sequential Context</x:v>
      </x:c>
      <x:c r="L353" t="str">
        <x:v>Provides previous and next step for continuity without asking for them to appear.</x:v>
      </x:c>
      <x:c r="M353" t="str">
        <x:v>Close-up realistic instructional DIY video: score a veneer cut line before sawing. Show utility knife working on veneer sheet. Hands visible, stable camera, no text overlay, neutral shop lighting. This is the middle clip in a sequence. Previous step has already prepared the work area; next step will verify the result. Keep the same workpiece, camera distance, and hand orientation.</x:v>
      </x:c>
      <x:c r="N353" s="14" t="n">
        <x:v>10</x:v>
      </x:c>
      <x:c r="O353" s="14" t="n">
        <x:v>100593</x:v>
      </x:c>
      <x:c r="P353" t="str">
        <x:v>R-C</x:v>
      </x:c>
      <x:c r="Q353" s="12" t="n">
        <x:v>4.01</x:v>
      </x:c>
      <x:c r="R353" s="12" t="n">
        <x:v>4.45</x:v>
      </x:c>
      <x:c r="S353" s="12" t="n">
        <x:v>3.67</x:v>
      </x:c>
      <x:c r="T353" s="12" t="n">
        <x:v>3.74</x:v>
      </x:c>
      <x:c r="U353" s="12" t="n">
        <x:v>3.46</x:v>
      </x:c>
      <x:c r="V353" s="12" t="n">
        <x:v>3.46</x:v>
      </x:c>
      <x:c r="W353" s="12" t="n">
        <x:f>ROUND((Q353*0.24)+(R353*0.22)+(S353*0.16)+(T353*0.18)+(U353*0.10)+(V353*0.10),2)</x:f>
        <x:v>3.89</x:v>
      </x:c>
      <x:c r="X353" t="str">
        <x:f>IF(W353&gt;=3.55,"Pass","Fail")</x:f>
        <x:v>Pass</x:v>
      </x:c>
      <x:c r="Y353" t="str">
        <x:v>endpoint not visible</x:v>
      </x:c>
      <x:c r="Z353" t="str">
        <x:v>Clip review: The intention is clear, especially if you already know the step. A novice might miss the key detail because this issue appears right where the action should be most explicit: endpoint not visible. This reads better as a teaser than as an instructional clip. Continuity is useful here, but it cannot replace showing the actual contact point.</x:v>
      </x:c>
      <x:c r="AA353" t="str">
        <x:v>Use a reference image for the utility knife and specify its grip/orientation in plain language.</x:v>
      </x:c>
      <x:c r="AB353" t="str">
        <x:v>Medium</x:v>
      </x:c>
      <x:c r="AC353" t="str"/>
      <x:c r="AD353" t="str">
        <x:v>Planning dataset only; scores are plausible placeholders, not vendor claims.</x:v>
      </x:c>
    </x:row>
    <x:row r="354">
      <x:c r="A354" t="str">
        <x:v>S059-Pika-SEQ</x:v>
      </x:c>
      <x:c r="B354" t="str">
        <x:v>S059</x:v>
      </x:c>
      <x:c r="C354" t="str">
        <x:v>Woodworking</x:v>
      </x:c>
      <x:c r="D354" t="str">
        <x:v>cutting</x:v>
      </x:c>
      <x:c r="E354" t="str">
        <x:v>scoring</x:v>
      </x:c>
      <x:c r="F354" t="n">
        <x:v>3</x:v>
      </x:c>
      <x:c r="G354" t="str">
        <x:v>score a veneer cut line before sawing</x:v>
      </x:c>
      <x:c r="H354" t="str">
        <x:v>utility knife</x:v>
      </x:c>
      <x:c r="I354" t="str">
        <x:v>veneer sheet</x:v>
      </x:c>
      <x:c r="J354" t="str">
        <x:v>Pika 2.2</x:v>
      </x:c>
      <x:c r="K354" t="str">
        <x:v>Sequential Context</x:v>
      </x:c>
      <x:c r="L354" t="str">
        <x:v>Provides previous and next step for continuity without asking for them to appear.</x:v>
      </x:c>
      <x:c r="M354" t="str">
        <x:v>Close-up realistic instructional DIY video: score a veneer cut line before sawing. Show utility knife working on veneer sheet. Hands visible, stable camera, no text overlay, neutral shop lighting. This is the middle clip in a sequence. Previous step has already prepared the work area; next step will verify the result. Keep the same workpiece, camera distance, and hand orientation.</x:v>
      </x:c>
      <x:c r="N354" s="14" t="n">
        <x:v>5</x:v>
      </x:c>
      <x:c r="O354" s="14" t="n">
        <x:v>100594</x:v>
      </x:c>
      <x:c r="P354" t="str">
        <x:v>R-A</x:v>
      </x:c>
      <x:c r="Q354" s="12" t="n">
        <x:v>3.3</x:v>
      </x:c>
      <x:c r="R354" s="12" t="n">
        <x:v>3.35</x:v>
      </x:c>
      <x:c r="S354" s="12" t="n">
        <x:v>3.27</x:v>
      </x:c>
      <x:c r="T354" s="12" t="n">
        <x:v>3.45</x:v>
      </x:c>
      <x:c r="U354" s="12" t="n">
        <x:v>3.53</x:v>
      </x:c>
      <x:c r="V354" s="12" t="n">
        <x:v>4.08</x:v>
      </x:c>
      <x:c r="W354" s="12" t="n">
        <x:f>ROUND((Q354*0.24)+(R354*0.22)+(S354*0.16)+(T354*0.18)+(U354*0.10)+(V354*0.10),2)</x:f>
        <x:v>3.43</x:v>
      </x:c>
      <x:c r="X354" t="str">
        <x:f>IF(W354&gt;=3.55,"Pass","Fail")</x:f>
        <x:v>Fail</x:v>
      </x:c>
      <x:c r="Y354" t="str">
        <x:v>action starts too late</x:v>
      </x:c>
      <x:c r="Z354" t="str">
        <x:v>QA note: The generated clip loses the procedure. I would re-run with a reference frame and a stricter Action-Object-Tool prompt. I would keep the same camera angle but ask for a tighter view of the contact point. Continuity is useful here, but it cannot replace showing the actual contact point.</x:v>
      </x:c>
      <x:c r="AA354" t="str">
        <x:v>Add a one-sentence end-state requirement: viewer must see the completed scoring result for one full second.</x:v>
      </x:c>
      <x:c r="AB354" t="str">
        <x:v>High</x:v>
      </x:c>
      <x:c r="AC354" t="str"/>
      <x:c r="AD354" t="str">
        <x:v>Mock rater record for experiment design; audit against real video outputs before publication.</x:v>
      </x:c>
    </x:row>
    <x:row r="355">
      <x:c r="A355" t="str">
        <x:v>S059-Vidu-SEQ</x:v>
      </x:c>
      <x:c r="B355" t="str">
        <x:v>S059</x:v>
      </x:c>
      <x:c r="C355" t="str">
        <x:v>Woodworking</x:v>
      </x:c>
      <x:c r="D355" t="str">
        <x:v>cutting</x:v>
      </x:c>
      <x:c r="E355" t="str">
        <x:v>scoring</x:v>
      </x:c>
      <x:c r="F355" t="n">
        <x:v>3</x:v>
      </x:c>
      <x:c r="G355" t="str">
        <x:v>score a veneer cut line before sawing</x:v>
      </x:c>
      <x:c r="H355" t="str">
        <x:v>utility knife</x:v>
      </x:c>
      <x:c r="I355" t="str">
        <x:v>veneer sheet</x:v>
      </x:c>
      <x:c r="J355" t="str">
        <x:v>Vidu 2.0</x:v>
      </x:c>
      <x:c r="K355" t="str">
        <x:v>Sequential Context</x:v>
      </x:c>
      <x:c r="L355" t="str">
        <x:v>Provides previous and next step for continuity without asking for them to appear.</x:v>
      </x:c>
      <x:c r="M355" t="str">
        <x:v>Close-up realistic instructional DIY video: score a veneer cut line before sawing. Show utility knife working on veneer sheet. Hands visible, stable camera, no text overlay, neutral shop lighting. This is the middle clip in a sequence. Previous step has already prepared the work area; next step will verify the result. Keep the same workpiece, camera distance, and hand orientation.</x:v>
      </x:c>
      <x:c r="N355" s="14" t="n">
        <x:v>5</x:v>
      </x:c>
      <x:c r="O355" s="14" t="n">
        <x:v>100595</x:v>
      </x:c>
      <x:c r="P355" t="str">
        <x:v>R-E</x:v>
      </x:c>
      <x:c r="Q355" s="12" t="n">
        <x:v>2.76</x:v>
      </x:c>
      <x:c r="R355" s="12" t="n">
        <x:v>3.31</x:v>
      </x:c>
      <x:c r="S355" s="12" t="n">
        <x:v>3.57</x:v>
      </x:c>
      <x:c r="T355" s="12" t="n">
        <x:v>2.88</x:v>
      </x:c>
      <x:c r="U355" s="12" t="n">
        <x:v>3.42</x:v>
      </x:c>
      <x:c r="V355" s="12" t="n">
        <x:v>3.52</x:v>
      </x:c>
      <x:c r="W355" s="12" t="n">
        <x:f>ROUND((Q355*0.24)+(R355*0.22)+(S355*0.16)+(T355*0.18)+(U355*0.10)+(V355*0.10),2)</x:f>
        <x:v>3.17</x:v>
      </x:c>
      <x:c r="X355" t="str">
        <x:f>IF(W355&gt;=3.55,"Pass","Fail")</x:f>
        <x:v>Fail</x:v>
      </x:c>
      <x:c r="Y355" t="str">
        <x:v>missing contact point</x:v>
      </x:c>
      <x:c r="Z355" t="str">
        <x:v>Clip review: This should fail the instructional bar. The model gestures toward the task, but the failure mode prevents a learner from trusting the technique: missing contact point. The mistake appears late, so a simple thumbnail review would probably miss it. Continuity is useful here, but it cannot replace showing the actual contact point.</x:v>
      </x:c>
      <x:c r="AA355" t="str">
        <x:v>Break the action into start, contact, movement, and finish; ban extra tools and hand morphing.</x:v>
      </x:c>
      <x:c r="AB355" t="str">
        <x:v>Medium</x:v>
      </x:c>
      <x:c r="AC355" t="str"/>
      <x:c r="AD355" t="str">
        <x:v>Mock rater record for experiment design; audit against real video outputs before publication.</x:v>
      </x:c>
    </x:row>
    <x:row r="356">
      <x:c r="A356" t="str">
        <x:v>S060-Veo-CON</x:v>
      </x:c>
      <x:c r="B356" t="str">
        <x:v>S060</x:v>
      </x:c>
      <x:c r="C356" t="str">
        <x:v>Woodworking</x:v>
      </x:c>
      <x:c r="D356" t="str">
        <x:v>fixture</x:v>
      </x:c>
      <x:c r="E356" t="str">
        <x:v>mounting</x:v>
      </x:c>
      <x:c r="F356" t="n">
        <x:v>3</x:v>
      </x:c>
      <x:c r="G356" t="str">
        <x:v>mount a shelf bracket level on a wall cleat</x:v>
      </x:c>
      <x:c r="H356" t="str">
        <x:v>drill, level</x:v>
      </x:c>
      <x:c r="I356" t="str">
        <x:v>shelf bracket, wall cleat</x:v>
      </x:c>
      <x:c r="J356" t="str">
        <x:v>Veo 3.1</x:v>
      </x:c>
      <x:c r="K356" t="str">
        <x:v>Constraint-Rich Negative Prompt</x:v>
      </x:c>
      <x:c r="L356" t="str">
        <x:v>Adds concise no-floating-tools/no-extra-objects/no-morphing constraints.</x:v>
      </x:c>
      <x:c r="M356" t="str">
        <x:v>Close-up realistic instructional DIY video: mount a shelf bracket level on a wall cleat. Show drill, level working on shelf bracket, wall cleat. Hands visible, stable camera, no text overlay, neutral shop lighting. Constraints: no floating tools, no extra tools, no morphing hands, no reversed motion, no impossible deformation, no dramatic camera spin. Keep the full action legible.</x:v>
      </x:c>
      <x:c r="N356" s="14" t="n">
        <x:v>8</x:v>
      </x:c>
      <x:c r="O356" s="14" t="n">
        <x:v>100600</x:v>
      </x:c>
      <x:c r="P356" t="str">
        <x:v>R-E</x:v>
      </x:c>
      <x:c r="Q356" s="12" t="n">
        <x:v>4.3</x:v>
      </x:c>
      <x:c r="R356" s="12" t="n">
        <x:v>4.6</x:v>
      </x:c>
      <x:c r="S356" s="12" t="n">
        <x:v>4.28</x:v>
      </x:c>
      <x:c r="T356" s="12" t="n">
        <x:v>4.18</x:v>
      </x:c>
      <x:c r="U356" s="12" t="n">
        <x:v>4.19</x:v>
      </x:c>
      <x:c r="V356" s="12" t="n">
        <x:v>4.63</x:v>
      </x:c>
      <x:c r="W356" s="12" t="n">
        <x:f>ROUND((Q356*0.24)+(R356*0.22)+(S356*0.16)+(T356*0.18)+(U356*0.10)+(V356*0.10),2)</x:f>
        <x:v>4.36</x:v>
      </x:c>
      <x:c r="X356" t="str">
        <x:f>IF(W356&gt;=3.55,"Pass","Fail")</x:f>
        <x:v>Pass</x:v>
      </x:c>
      <x:c r="Y356" t="str">
        <x:v>small hand occlusion</x:v>
      </x:c>
      <x:c r="Z356" t="str">
        <x:v>QA note: Best part is the pacing: it gives enough time to understand mounting without turning into a beauty shot. Minor issue: occasional extra hand. The next prompt should slow the final second instead of adding more scene detail. The negative constraints help, but they do not fully solve the mechanics.</x:v>
      </x:c>
      <x:c r="AA356" t="str">
        <x:v>Use a reference image for the drill, level and specify its grip/orientation in plain language.</x:v>
      </x:c>
      <x:c r="AB356" t="str">
        <x:v>Medium</x:v>
      </x:c>
      <x:c r="AC356" t="str"/>
      <x:c r="AD356" t="str">
        <x:v>Planning dataset only; scores are plausible placeholders, not vendor claims.</x:v>
      </x:c>
    </x:row>
    <x:row r="357">
      <x:c r="A357" t="str">
        <x:v>S060-Sora-CON</x:v>
      </x:c>
      <x:c r="B357" t="str">
        <x:v>S060</x:v>
      </x:c>
      <x:c r="C357" t="str">
        <x:v>Woodworking</x:v>
      </x:c>
      <x:c r="D357" t="str">
        <x:v>fixture</x:v>
      </x:c>
      <x:c r="E357" t="str">
        <x:v>mounting</x:v>
      </x:c>
      <x:c r="F357" t="n">
        <x:v>3</x:v>
      </x:c>
      <x:c r="G357" t="str">
        <x:v>mount a shelf bracket level on a wall cleat</x:v>
      </x:c>
      <x:c r="H357" t="str">
        <x:v>drill, level</x:v>
      </x:c>
      <x:c r="I357" t="str">
        <x:v>shelf bracket, wall cleat</x:v>
      </x:c>
      <x:c r="J357" t="str">
        <x:v>Sora 2 Pro</x:v>
      </x:c>
      <x:c r="K357" t="str">
        <x:v>Constraint-Rich Negative Prompt</x:v>
      </x:c>
      <x:c r="L357" t="str">
        <x:v>Adds concise no-floating-tools/no-extra-objects/no-morphing constraints.</x:v>
      </x:c>
      <x:c r="M357" t="str">
        <x:v>Close-up realistic instructional DIY video: mount a shelf bracket level on a wall cleat. Show drill, level working on shelf bracket, wall cleat. Hands visible, stable camera, no text overlay, neutral shop lighting. Constraints: no floating tools, no extra tools, no morphing hands, no reversed motion, no impossible deformation, no dramatic camera spin. Keep the full action legible.</x:v>
      </x:c>
      <x:c r="N357" s="14" t="n">
        <x:v>8</x:v>
      </x:c>
      <x:c r="O357" s="14" t="n">
        <x:v>100601</x:v>
      </x:c>
      <x:c r="P357" t="str">
        <x:v>R-C</x:v>
      </x:c>
      <x:c r="Q357" s="12" t="n">
        <x:v>3.6</x:v>
      </x:c>
      <x:c r="R357" s="12" t="n">
        <x:v>3.7</x:v>
      </x:c>
      <x:c r="S357" s="12" t="n">
        <x:v>4.75</x:v>
      </x:c>
      <x:c r="T357" s="12" t="n">
        <x:v>4.17</x:v>
      </x:c>
      <x:c r="U357" s="12" t="n">
        <x:v>3.7</x:v>
      </x:c>
      <x:c r="V357" s="12" t="n">
        <x:v>4.05</x:v>
      </x:c>
      <x:c r="W357" s="12" t="n">
        <x:f>ROUND((Q357*0.24)+(R357*0.22)+(S357*0.16)+(T357*0.18)+(U357*0.10)+(V357*0.10),2)</x:f>
        <x:v>3.96</x:v>
      </x:c>
      <x:c r="X357" t="str">
        <x:f>IF(W357&gt;=3.55,"Pass","Fail")</x:f>
        <x:v>Pass</x:v>
      </x:c>
      <x:c r="Y357" t="str">
        <x:v>minor continuity jump</x:v>
      </x:c>
      <x:c r="Z357" t="str">
        <x:v>Rater note: Looks plausible at first glance. On a second pass, the shelf bracket, wall cleat shifts slightly and the model seems to infer the outcome rather than show the full mounting. I would keep the same camera angle but ask for a tighter view of the contact point. The negative constraints help, but they do not fully solve the mechanics.</x:v>
      </x:c>
      <x:c r="AA357" t="str">
        <x:v>Add a one-sentence end-state requirement: viewer must see the completed mounting result for one full second.</x:v>
      </x:c>
      <x:c r="AB357" t="str">
        <x:v>Medium-High</x:v>
      </x:c>
      <x:c r="AC357" t="str"/>
      <x:c r="AD357" t="str">
        <x:v>Synthetic benchmark entry; generated clip URL should be filled after API run.</x:v>
      </x:c>
    </x:row>
    <x:row r="358">
      <x:c r="A358" t="str">
        <x:v>S060-Runway-CON</x:v>
      </x:c>
      <x:c r="B358" t="str">
        <x:v>S060</x:v>
      </x:c>
      <x:c r="C358" t="str">
        <x:v>Woodworking</x:v>
      </x:c>
      <x:c r="D358" t="str">
        <x:v>fixture</x:v>
      </x:c>
      <x:c r="E358" t="str">
        <x:v>mounting</x:v>
      </x:c>
      <x:c r="F358" t="n">
        <x:v>3</x:v>
      </x:c>
      <x:c r="G358" t="str">
        <x:v>mount a shelf bracket level on a wall cleat</x:v>
      </x:c>
      <x:c r="H358" t="str">
        <x:v>drill, level</x:v>
      </x:c>
      <x:c r="I358" t="str">
        <x:v>shelf bracket, wall cleat</x:v>
      </x:c>
      <x:c r="J358" t="str">
        <x:v>Runway Gen-4.5</x:v>
      </x:c>
      <x:c r="K358" t="str">
        <x:v>Constraint-Rich Negative Prompt</x:v>
      </x:c>
      <x:c r="L358" t="str">
        <x:v>Adds concise no-floating-tools/no-extra-objects/no-morphing constraints.</x:v>
      </x:c>
      <x:c r="M358" t="str">
        <x:v>Close-up realistic instructional DIY video: mount a shelf bracket level on a wall cleat. Show drill, level working on shelf bracket, wall cleat. Hands visible, stable camera, no text overlay, neutral shop lighting. Constraints: no floating tools, no extra tools, no morphing hands, no reversed motion, no impossible deformation, no dramatic camera spin. Keep the full action legible.</x:v>
      </x:c>
      <x:c r="N358" s="14" t="n">
        <x:v>5</x:v>
      </x:c>
      <x:c r="O358" s="14" t="n">
        <x:v>100602</x:v>
      </x:c>
      <x:c r="P358" t="str">
        <x:v>R-E</x:v>
      </x:c>
      <x:c r="Q358" s="12" t="n">
        <x:v>4.63</x:v>
      </x:c>
      <x:c r="R358" s="12" t="n">
        <x:v>3.16</x:v>
      </x:c>
      <x:c r="S358" s="12" t="n">
        <x:v>3.87</x:v>
      </x:c>
      <x:c r="T358" s="12" t="n">
        <x:v>4.12</x:v>
      </x:c>
      <x:c r="U358" s="12" t="n">
        <x:v>3.71</x:v>
      </x:c>
      <x:c r="V358" s="12" t="n">
        <x:v>3.67</x:v>
      </x:c>
      <x:c r="W358" s="12" t="n">
        <x:f>ROUND((Q358*0.24)+(R358*0.22)+(S358*0.16)+(T358*0.18)+(U358*0.10)+(V358*0.10),2)</x:f>
        <x:v>3.91</x:v>
      </x:c>
      <x:c r="X358" t="str">
        <x:f>IF(W358&gt;=3.55,"Pass","Fail")</x:f>
        <x:v>Pass</x:v>
      </x:c>
      <x:c r="Y358" t="str">
        <x:v>endpoint not visible</x:v>
      </x:c>
      <x:c r="Z358" t="str">
        <x:v>Clip review: Usable, but I would not show it without review. The drill, level is recognizable, yet the exact contact point is hard to see when the hand crosses the frame. The most important fix is to show the before-and-after state without a cut. The negative constraints help, but they do not fully solve the mechanics.</x:v>
      </x:c>
      <x:c r="AA358" t="str">
        <x:v>Use sequential context only for continuity, not for adding previous/next steps into the frame.</x:v>
      </x:c>
      <x:c r="AB358" t="str">
        <x:v>Medium-High</x:v>
      </x:c>
      <x:c r="AC358" t="str"/>
      <x:c r="AD358" t="str">
        <x:v>Simulated pilot row for planning; replace with blinded ratings after generating actual clips.</x:v>
      </x:c>
    </x:row>
    <x:row r="359">
      <x:c r="A359" t="str">
        <x:v>S060-Kling-CON</x:v>
      </x:c>
      <x:c r="B359" t="str">
        <x:v>S060</x:v>
      </x:c>
      <x:c r="C359" t="str">
        <x:v>Woodworking</x:v>
      </x:c>
      <x:c r="D359" t="str">
        <x:v>fixture</x:v>
      </x:c>
      <x:c r="E359" t="str">
        <x:v>mounting</x:v>
      </x:c>
      <x:c r="F359" t="n">
        <x:v>3</x:v>
      </x:c>
      <x:c r="G359" t="str">
        <x:v>mount a shelf bracket level on a wall cleat</x:v>
      </x:c>
      <x:c r="H359" t="str">
        <x:v>drill, level</x:v>
      </x:c>
      <x:c r="I359" t="str">
        <x:v>shelf bracket, wall cleat</x:v>
      </x:c>
      <x:c r="J359" t="str">
        <x:v>Kling v3.0 (Replicate)</x:v>
      </x:c>
      <x:c r="K359" t="str">
        <x:v>Constraint-Rich Negative Prompt</x:v>
      </x:c>
      <x:c r="L359" t="str">
        <x:v>Adds concise no-floating-tools/no-extra-objects/no-morphing constraints.</x:v>
      </x:c>
      <x:c r="M359" t="str">
        <x:v>Close-up realistic instructional DIY video: mount a shelf bracket level on a wall cleat. Show drill, level working on shelf bracket, wall cleat. Hands visible, stable camera, no text overlay, neutral shop lighting. Constraints: no floating tools, no extra tools, no morphing hands, no reversed motion, no impossible deformation, no dramatic camera spin. Keep the full action legible.</x:v>
      </x:c>
      <x:c r="N359" s="14" t="n">
        <x:v>10</x:v>
      </x:c>
      <x:c r="O359" s="14" t="n">
        <x:v>100603</x:v>
      </x:c>
      <x:c r="P359" t="str">
        <x:v>R-D</x:v>
      </x:c>
      <x:c r="Q359" s="12" t="n">
        <x:v>3.72</x:v>
      </x:c>
      <x:c r="R359" s="12" t="n">
        <x:v>4.54</x:v>
      </x:c>
      <x:c r="S359" s="12" t="n">
        <x:v>4.31</x:v>
      </x:c>
      <x:c r="T359" s="12" t="n">
        <x:v>3.56</x:v>
      </x:c>
      <x:c r="U359" s="12" t="n">
        <x:v>4.15</x:v>
      </x:c>
      <x:c r="V359" s="12" t="n">
        <x:v>3.41</x:v>
      </x:c>
      <x:c r="W359" s="12" t="n">
        <x:f>ROUND((Q359*0.24)+(R359*0.22)+(S359*0.16)+(T359*0.18)+(U359*0.10)+(V359*0.10),2)</x:f>
        <x:v>3.98</x:v>
      </x:c>
      <x:c r="X359" t="str">
        <x:f>IF(W359&gt;=3.55,"Pass","Fail")</x:f>
        <x:v>Pass</x:v>
      </x:c>
      <x:c r="Y359" t="str">
        <x:v>tool pose a little soft</x:v>
      </x:c>
      <x:c r="Z359" t="str">
        <x:v>Review note: Usable, but I would not show it without review. The drill, level is recognizable, yet the exact contact point is hard to see when the hand crosses the frame. The clip needs a verifier pass before it can enter the training pool. The negative constraints help, but they do not fully solve the mechanics.</x:v>
      </x:c>
      <x:c r="AA359" t="str">
        <x:v>Ask for a static close-up and require the drill, level to touch the shelf bracket, wall cleat before any motion starts.</x:v>
      </x:c>
      <x:c r="AB359" t="str">
        <x:v>High</x:v>
      </x:c>
      <x:c r="AC359" t="str"/>
      <x:c r="AD359" t="str">
        <x:v>Mock rater record for experiment design; audit against real video outputs before publication.</x:v>
      </x:c>
    </x:row>
    <x:row r="360">
      <x:c r="A360" t="str">
        <x:v>S060-Pika-CON</x:v>
      </x:c>
      <x:c r="B360" t="str">
        <x:v>S060</x:v>
      </x:c>
      <x:c r="C360" t="str">
        <x:v>Woodworking</x:v>
      </x:c>
      <x:c r="D360" t="str">
        <x:v>fixture</x:v>
      </x:c>
      <x:c r="E360" t="str">
        <x:v>mounting</x:v>
      </x:c>
      <x:c r="F360" t="n">
        <x:v>3</x:v>
      </x:c>
      <x:c r="G360" t="str">
        <x:v>mount a shelf bracket level on a wall cleat</x:v>
      </x:c>
      <x:c r="H360" t="str">
        <x:v>drill, level</x:v>
      </x:c>
      <x:c r="I360" t="str">
        <x:v>shelf bracket, wall cleat</x:v>
      </x:c>
      <x:c r="J360" t="str">
        <x:v>Pika 2.2</x:v>
      </x:c>
      <x:c r="K360" t="str">
        <x:v>Constraint-Rich Negative Prompt</x:v>
      </x:c>
      <x:c r="L360" t="str">
        <x:v>Adds concise no-floating-tools/no-extra-objects/no-morphing constraints.</x:v>
      </x:c>
      <x:c r="M360" t="str">
        <x:v>Close-up realistic instructional DIY video: mount a shelf bracket level on a wall cleat. Show drill, level working on shelf bracket, wall cleat. Hands visible, stable camera, no text overlay, neutral shop lighting. Constraints: no floating tools, no extra tools, no morphing hands, no reversed motion, no impossible deformation, no dramatic camera spin. Keep the full action legible.</x:v>
      </x:c>
      <x:c r="N360" s="14" t="n">
        <x:v>5</x:v>
      </x:c>
      <x:c r="O360" s="14" t="n">
        <x:v>100604</x:v>
      </x:c>
      <x:c r="P360" t="str">
        <x:v>R-E</x:v>
      </x:c>
      <x:c r="Q360" s="12" t="n">
        <x:v>3.53</x:v>
      </x:c>
      <x:c r="R360" s="12" t="n">
        <x:v>4.07</x:v>
      </x:c>
      <x:c r="S360" s="12" t="n">
        <x:v>3.59</x:v>
      </x:c>
      <x:c r="T360" s="12" t="n">
        <x:v>3.12</x:v>
      </x:c>
      <x:c r="U360" s="12" t="n">
        <x:v>2.7</x:v>
      </x:c>
      <x:c r="V360" s="12" t="n">
        <x:v>3.81</x:v>
      </x:c>
      <x:c r="W360" s="12" t="n">
        <x:f>ROUND((Q360*0.24)+(R360*0.22)+(S360*0.16)+(T360*0.18)+(U360*0.10)+(V360*0.10),2)</x:f>
        <x:v>3.53</x:v>
      </x:c>
      <x:c r="X360" t="str">
        <x:f>IF(W360&gt;=3.55,"Pass","Fail")</x:f>
        <x:v>Fail</x:v>
      </x:c>
      <x:c r="Y360" t="str">
        <x:v>force/torque reads wrong</x:v>
      </x:c>
      <x:c r="Z360" t="str">
        <x:v>Review note: The clip looks like generic DIY stock footage rather than this specific step. The main problem is force/torque reads wrong, and the end state is not verifiable. The mistake appears late, so a simple thumbnail review would probably miss it. The negative constraints help, but they do not fully solve the mechanics.</x:v>
      </x:c>
      <x:c r="AA360" t="str">
        <x:v>Use a reference image for the drill, level and specify its grip/orientation in plain language.</x:v>
      </x:c>
      <x:c r="AB360" t="str">
        <x:v>Medium-High</x:v>
      </x:c>
      <x:c r="AC360" t="str"/>
      <x:c r="AD360" t="str">
        <x:v>Mock rater record for experiment design; audit against real video outputs before publication.</x:v>
      </x:c>
    </x:row>
    <x:row r="361">
      <x:c r="A361" t="str">
        <x:v>S060-Vidu-CON</x:v>
      </x:c>
      <x:c r="B361" t="str">
        <x:v>S060</x:v>
      </x:c>
      <x:c r="C361" t="str">
        <x:v>Woodworking</x:v>
      </x:c>
      <x:c r="D361" t="str">
        <x:v>fixture</x:v>
      </x:c>
      <x:c r="E361" t="str">
        <x:v>mounting</x:v>
      </x:c>
      <x:c r="F361" t="n">
        <x:v>3</x:v>
      </x:c>
      <x:c r="G361" t="str">
        <x:v>mount a shelf bracket level on a wall cleat</x:v>
      </x:c>
      <x:c r="H361" t="str">
        <x:v>drill, level</x:v>
      </x:c>
      <x:c r="I361" t="str">
        <x:v>shelf bracket, wall cleat</x:v>
      </x:c>
      <x:c r="J361" t="str">
        <x:v>Vidu 2.0</x:v>
      </x:c>
      <x:c r="K361" t="str">
        <x:v>Constraint-Rich Negative Prompt</x:v>
      </x:c>
      <x:c r="L361" t="str">
        <x:v>Adds concise no-floating-tools/no-extra-objects/no-morphing constraints.</x:v>
      </x:c>
      <x:c r="M361" t="str">
        <x:v>Close-up realistic instructional DIY video: mount a shelf bracket level on a wall cleat. Show drill, level working on shelf bracket, wall cleat. Hands visible, stable camera, no text overlay, neutral shop lighting. Constraints: no floating tools, no extra tools, no morphing hands, no reversed motion, no impossible deformation, no dramatic camera spin. Keep the full action legible.</x:v>
      </x:c>
      <x:c r="N361" s="14" t="n">
        <x:v>5</x:v>
      </x:c>
      <x:c r="O361" s="14" t="n">
        <x:v>100605</x:v>
      </x:c>
      <x:c r="P361" t="str">
        <x:v>R-C</x:v>
      </x:c>
      <x:c r="Q361" s="12" t="n">
        <x:v>3.57</x:v>
      </x:c>
      <x:c r="R361" s="12" t="n">
        <x:v>2.82</x:v>
      </x:c>
      <x:c r="S361" s="12" t="n">
        <x:v>3.49</x:v>
      </x:c>
      <x:c r="T361" s="12" t="n">
        <x:v>3.31</x:v>
      </x:c>
      <x:c r="U361" s="12" t="n">
        <x:v>3.19</x:v>
      </x:c>
      <x:c r="V361" s="12" t="n">
        <x:v>3.64</x:v>
      </x:c>
      <x:c r="W361" s="12" t="n">
        <x:f>ROUND((Q361*0.24)+(R361*0.22)+(S361*0.16)+(T361*0.18)+(U361*0.10)+(V361*0.10),2)</x:f>
        <x:v>3.31</x:v>
      </x:c>
      <x:c r="X361" t="str">
        <x:f>IF(W361&gt;=3.55,"Pass","Fail")</x:f>
        <x:v>Fail</x:v>
      </x:c>
      <x:c r="Y361" t="str">
        <x:v>camera blocks work</x:v>
      </x:c>
      <x:c r="Z361" t="str">
        <x:v>Rater note: Too much is being implied. The drill, level and shelf bracket, wall cleat are in the scene, but the motion does not demonstrate the actual repair step. The tool silhouette is acceptable; the mechanics are the weak part. The negative constraints help, but they do not fully solve the mechanics.</x:v>
      </x:c>
      <x:c r="AA361" t="str">
        <x:v>Move safety language earlier in the prompt and remove cinematic camera instructions.</x:v>
      </x:c>
      <x:c r="AB361" t="str">
        <x:v>High</x:v>
      </x:c>
      <x:c r="AC361" t="str"/>
      <x:c r="AD361" t="str">
        <x:v>Mock rater record for experiment design; audit against real video outputs before publication.</x:v>
      </x:c>
    </x:row>
    <x:row r="362">
      <x:c r="A362" t="str">
        <x:v>S061-Veo-DIR</x:v>
      </x:c>
      <x:c r="B362" t="str">
        <x:v>S061</x:v>
      </x:c>
      <x:c r="C362" t="str">
        <x:v>Painting</x:v>
      </x:c>
      <x:c r="D362" t="str">
        <x:v>surface prep</x:v>
      </x:c>
      <x:c r="E362" t="str">
        <x:v>taping</x:v>
      </x:c>
      <x:c r="F362" t="n">
        <x:v>2</x:v>
      </x:c>
      <x:c r="G362" t="str">
        <x:v>apply painter's tape along baseboard trim</x:v>
      </x:c>
      <x:c r="H362" t="str">
        <x:v>painter's tape</x:v>
      </x:c>
      <x:c r="I362" t="str">
        <x:v>baseboard trim, wall</x:v>
      </x:c>
      <x:c r="J362" t="str">
        <x:v>Veo 3.1</x:v>
      </x:c>
      <x:c r="K362" t="str">
        <x:v>Direct Natural Language</x:v>
      </x:c>
      <x:c r="L362" t="str">
        <x:v>Baseline wording only; no explicit decomposition.</x:v>
      </x:c>
      <x:c r="M362" t="str">
        <x:v>Close-up realistic instructional DIY video: apply painter's tape along baseboard trim. Show painter's tape working on baseboard trim, wall. Hands visible, stable camera, no text overlay, neutral shop lighting.</x:v>
      </x:c>
      <x:c r="N362" s="14" t="n">
        <x:v>8</x:v>
      </x:c>
      <x:c r="O362" s="14" t="n">
        <x:v>100610</x:v>
      </x:c>
      <x:c r="P362" t="str">
        <x:v>R-E</x:v>
      </x:c>
      <x:c r="Q362" s="12" t="n">
        <x:v>4.41</x:v>
      </x:c>
      <x:c r="R362" s="12" t="n">
        <x:v>4.21</x:v>
      </x:c>
      <x:c r="S362" s="12" t="n">
        <x:v>4.28</x:v>
      </x:c>
      <x:c r="T362" s="12" t="n">
        <x:v>4.48</x:v>
      </x:c>
      <x:c r="U362" s="12" t="n">
        <x:v>4.3</x:v>
      </x:c>
      <x:c r="V362" s="12" t="n">
        <x:v>4.51</x:v>
      </x:c>
      <x:c r="W362" s="12" t="n">
        <x:f>ROUND((Q362*0.24)+(R362*0.22)+(S362*0.16)+(T362*0.18)+(U362*0.10)+(V362*0.10),2)</x:f>
        <x:v>4.36</x:v>
      </x:c>
      <x:c r="X362" t="str">
        <x:f>IF(W362&gt;=3.55,"Pass","Fail")</x:f>
        <x:v>Pass</x:v>
      </x:c>
      <x:c r="Y362" t="str">
        <x:v>none</x:v>
      </x:c>
      <x:c r="Z362" t="str">
        <x:v>Human check: Clear enough for a learner. The workpiece does not wander and the camera stays on the baseboard trim, wall; I would still add a freeze or caption after generation. On a small preview it might pass, but full-screen review exposes the issue. For this painting example, the main judgment is still whether the viewer can copy the motion.</x:v>
      </x:c>
      <x:c r="AA362" t="str">
        <x:v>No immediate re-run; keep as candidate and verify with a second rater.</x:v>
      </x:c>
      <x:c r="AB362" t="str">
        <x:v>Medium-High</x:v>
      </x:c>
      <x:c r="AC362" t="str"/>
      <x:c r="AD362" t="str">
        <x:v>Planning dataset only; scores are plausible placeholders, not vendor claims.</x:v>
      </x:c>
    </x:row>
    <x:row r="363">
      <x:c r="A363" t="str">
        <x:v>S061-Sora-DIR</x:v>
      </x:c>
      <x:c r="B363" t="str">
        <x:v>S061</x:v>
      </x:c>
      <x:c r="C363" t="str">
        <x:v>Painting</x:v>
      </x:c>
      <x:c r="D363" t="str">
        <x:v>surface prep</x:v>
      </x:c>
      <x:c r="E363" t="str">
        <x:v>taping</x:v>
      </x:c>
      <x:c r="F363" t="n">
        <x:v>2</x:v>
      </x:c>
      <x:c r="G363" t="str">
        <x:v>apply painter's tape along baseboard trim</x:v>
      </x:c>
      <x:c r="H363" t="str">
        <x:v>painter's tape</x:v>
      </x:c>
      <x:c r="I363" t="str">
        <x:v>baseboard trim, wall</x:v>
      </x:c>
      <x:c r="J363" t="str">
        <x:v>Sora 2 Pro</x:v>
      </x:c>
      <x:c r="K363" t="str">
        <x:v>Direct Natural Language</x:v>
      </x:c>
      <x:c r="L363" t="str">
        <x:v>Baseline wording only; no explicit decomposition.</x:v>
      </x:c>
      <x:c r="M363" t="str">
        <x:v>Close-up realistic instructional DIY video: apply painter's tape along baseboard trim. Show painter's tape working on baseboard trim, wall. Hands visible, stable camera, no text overlay, neutral shop lighting.</x:v>
      </x:c>
      <x:c r="N363" s="14" t="n">
        <x:v>8</x:v>
      </x:c>
      <x:c r="O363" s="14" t="n">
        <x:v>100611</x:v>
      </x:c>
      <x:c r="P363" t="str">
        <x:v>R-D</x:v>
      </x:c>
      <x:c r="Q363" s="12" t="n">
        <x:v>3.72</x:v>
      </x:c>
      <x:c r="R363" s="12" t="n">
        <x:v>4.05</x:v>
      </x:c>
      <x:c r="S363" s="12" t="n">
        <x:v>3.91</x:v>
      </x:c>
      <x:c r="T363" s="12" t="n">
        <x:v>4.25</x:v>
      </x:c>
      <x:c r="U363" s="12" t="n">
        <x:v>3.97</x:v>
      </x:c>
      <x:c r="V363" s="12" t="n">
        <x:v>3.96</x:v>
      </x:c>
      <x:c r="W363" s="12" t="n">
        <x:f>ROUND((Q363*0.24)+(R363*0.22)+(S363*0.16)+(T363*0.18)+(U363*0.10)+(V363*0.10),2)</x:f>
        <x:v>3.97</x:v>
      </x:c>
      <x:c r="X363" t="str">
        <x:f>IF(W363&gt;=3.55,"Pass","Fail")</x:f>
        <x:v>Pass</x:v>
      </x:c>
      <x:c r="Y363" t="str">
        <x:v>tool pose a little soft</x:v>
      </x:c>
      <x:c r="Z363" t="str">
        <x:v>Clip review: The clip has the right ingredients but not quite the right mechanics. It needs a tighter prompt about grip, contact, and the end position. The issue is subtle visually, but it matters because the clip is supposed to teach the technique. For this painting example, the main judgment is still whether the viewer can copy the motion.</x:v>
      </x:c>
      <x:c r="AA363" t="str">
        <x:v>Move safety language earlier in the prompt and remove cinematic camera instructions.</x:v>
      </x:c>
      <x:c r="AB363" t="str">
        <x:v>High</x:v>
      </x:c>
      <x:c r="AC363" t="str"/>
      <x:c r="AD363" t="str">
        <x:v>Synthetic benchmark entry; generated clip URL should be filled after API run.</x:v>
      </x:c>
    </x:row>
    <x:row r="364">
      <x:c r="A364" t="str">
        <x:v>S061-Runway-DIR</x:v>
      </x:c>
      <x:c r="B364" t="str">
        <x:v>S061</x:v>
      </x:c>
      <x:c r="C364" t="str">
        <x:v>Painting</x:v>
      </x:c>
      <x:c r="D364" t="str">
        <x:v>surface prep</x:v>
      </x:c>
      <x:c r="E364" t="str">
        <x:v>taping</x:v>
      </x:c>
      <x:c r="F364" t="n">
        <x:v>2</x:v>
      </x:c>
      <x:c r="G364" t="str">
        <x:v>apply painter's tape along baseboard trim</x:v>
      </x:c>
      <x:c r="H364" t="str">
        <x:v>painter's tape</x:v>
      </x:c>
      <x:c r="I364" t="str">
        <x:v>baseboard trim, wall</x:v>
      </x:c>
      <x:c r="J364" t="str">
        <x:v>Runway Gen-4.5</x:v>
      </x:c>
      <x:c r="K364" t="str">
        <x:v>Direct Natural Language</x:v>
      </x:c>
      <x:c r="L364" t="str">
        <x:v>Baseline wording only; no explicit decomposition.</x:v>
      </x:c>
      <x:c r="M364" t="str">
        <x:v>Close-up realistic instructional DIY video: apply painter's tape along baseboard trim. Show painter's tape working on baseboard trim, wall. Hands visible, stable camera, no text overlay, neutral shop lighting.</x:v>
      </x:c>
      <x:c r="N364" s="14" t="n">
        <x:v>5</x:v>
      </x:c>
      <x:c r="O364" s="14" t="n">
        <x:v>100612</x:v>
      </x:c>
      <x:c r="P364" t="str">
        <x:v>R-B</x:v>
      </x:c>
      <x:c r="Q364" s="12" t="n">
        <x:v>3.51</x:v>
      </x:c>
      <x:c r="R364" s="12" t="n">
        <x:v>3.75</x:v>
      </x:c>
      <x:c r="S364" s="12" t="n">
        <x:v>3.79</x:v>
      </x:c>
      <x:c r="T364" s="12" t="n">
        <x:v>3.75</x:v>
      </x:c>
      <x:c r="U364" s="12" t="n">
        <x:v>3.67</x:v>
      </x:c>
      <x:c r="V364" s="12" t="n">
        <x:v>4.25</x:v>
      </x:c>
      <x:c r="W364" s="12" t="n">
        <x:f>ROUND((Q364*0.24)+(R364*0.22)+(S364*0.16)+(T364*0.18)+(U364*0.10)+(V364*0.10),2)</x:f>
        <x:v>3.74</x:v>
      </x:c>
      <x:c r="X364" t="str">
        <x:f>IF(W364&gt;=3.55,"Pass","Fail")</x:f>
        <x:v>Pass</x:v>
      </x:c>
      <x:c r="Y364" t="str">
        <x:v>tool pose a little soft</x:v>
      </x:c>
      <x:c r="Z364" t="str">
        <x:v>Rater note: The clip has the right ingredients but not quite the right mechanics. It needs a tighter prompt about grip, contact, and the end position. The most important fix is to show the before-and-after state without a cut. The baseline prompt is likely under-specifying the tool path.</x:v>
      </x:c>
      <x:c r="AA364" t="str">
        <x:v>Use a reference image for the painter's tape and specify its grip/orientation in plain language.</x:v>
      </x:c>
      <x:c r="AB364" t="str">
        <x:v>Medium</x:v>
      </x:c>
      <x:c r="AC364" t="str"/>
      <x:c r="AD364" t="str">
        <x:v>Synthetic benchmark entry; generated clip URL should be filled after API run.</x:v>
      </x:c>
    </x:row>
    <x:row r="365">
      <x:c r="A365" t="str">
        <x:v>S061-Kling-DIR</x:v>
      </x:c>
      <x:c r="B365" t="str">
        <x:v>S061</x:v>
      </x:c>
      <x:c r="C365" t="str">
        <x:v>Painting</x:v>
      </x:c>
      <x:c r="D365" t="str">
        <x:v>surface prep</x:v>
      </x:c>
      <x:c r="E365" t="str">
        <x:v>taping</x:v>
      </x:c>
      <x:c r="F365" t="n">
        <x:v>2</x:v>
      </x:c>
      <x:c r="G365" t="str">
        <x:v>apply painter's tape along baseboard trim</x:v>
      </x:c>
      <x:c r="H365" t="str">
        <x:v>painter's tape</x:v>
      </x:c>
      <x:c r="I365" t="str">
        <x:v>baseboard trim, wall</x:v>
      </x:c>
      <x:c r="J365" t="str">
        <x:v>Kling v3.0 (Replicate)</x:v>
      </x:c>
      <x:c r="K365" t="str">
        <x:v>Direct Natural Language</x:v>
      </x:c>
      <x:c r="L365" t="str">
        <x:v>Baseline wording only; no explicit decomposition.</x:v>
      </x:c>
      <x:c r="M365" t="str">
        <x:v>Close-up realistic instructional DIY video: apply painter's tape along baseboard trim. Show painter's tape working on baseboard trim, wall. Hands visible, stable camera, no text overlay, neutral shop lighting.</x:v>
      </x:c>
      <x:c r="N365" s="14" t="n">
        <x:v>10</x:v>
      </x:c>
      <x:c r="O365" s="14" t="n">
        <x:v>100613</x:v>
      </x:c>
      <x:c r="P365" t="str">
        <x:v>R-C</x:v>
      </x:c>
      <x:c r="Q365" s="12" t="n">
        <x:v>3.86</x:v>
      </x:c>
      <x:c r="R365" s="12" t="n">
        <x:v>4.08</x:v>
      </x:c>
      <x:c r="S365" s="12" t="n">
        <x:v>3.95</x:v>
      </x:c>
      <x:c r="T365" s="12" t="n">
        <x:v>3.83</x:v>
      </x:c>
      <x:c r="U365" s="12" t="n">
        <x:v>3.95</x:v>
      </x:c>
      <x:c r="V365" s="12" t="n">
        <x:v>4.05</x:v>
      </x:c>
      <x:c r="W365" s="12" t="n">
        <x:f>ROUND((Q365*0.24)+(R365*0.22)+(S365*0.16)+(T365*0.18)+(U365*0.10)+(V365*0.10),2)</x:f>
        <x:v>3.95</x:v>
      </x:c>
      <x:c r="X365" t="str">
        <x:f>IF(W365&gt;=3.55,"Pass","Fail")</x:f>
        <x:v>Pass</x:v>
      </x:c>
      <x:c r="Y365" t="str">
        <x:v>contact point hidden</x:v>
      </x:c>
      <x:c r="Z365" t="str">
        <x:v>QA note: Looks plausible at first glance. On a second pass, the baseboard trim, wall shifts slightly and the model seems to infer the outcome rather than show the full taping. The mistake appears late, so a simple thumbnail review would probably miss it. For this painting example, the main judgment is still whether the viewer can copy the motion.</x:v>
      </x:c>
      <x:c r="AA365" t="str">
        <x:v>Specify the exact contact point and do not allow the hand to cover it.</x:v>
      </x:c>
      <x:c r="AB365" t="str">
        <x:v>Medium</x:v>
      </x:c>
      <x:c r="AC365" t="str"/>
      <x:c r="AD365" t="str">
        <x:v>Synthetic benchmark entry; generated clip URL should be filled after API run.</x:v>
      </x:c>
    </x:row>
    <x:row r="366">
      <x:c r="A366" t="str">
        <x:v>S061-Pika-DIR</x:v>
      </x:c>
      <x:c r="B366" t="str">
        <x:v>S061</x:v>
      </x:c>
      <x:c r="C366" t="str">
        <x:v>Painting</x:v>
      </x:c>
      <x:c r="D366" t="str">
        <x:v>surface prep</x:v>
      </x:c>
      <x:c r="E366" t="str">
        <x:v>taping</x:v>
      </x:c>
      <x:c r="F366" t="n">
        <x:v>2</x:v>
      </x:c>
      <x:c r="G366" t="str">
        <x:v>apply painter's tape along baseboard trim</x:v>
      </x:c>
      <x:c r="H366" t="str">
        <x:v>painter's tape</x:v>
      </x:c>
      <x:c r="I366" t="str">
        <x:v>baseboard trim, wall</x:v>
      </x:c>
      <x:c r="J366" t="str">
        <x:v>Pika 2.2</x:v>
      </x:c>
      <x:c r="K366" t="str">
        <x:v>Direct Natural Language</x:v>
      </x:c>
      <x:c r="L366" t="str">
        <x:v>Baseline wording only; no explicit decomposition.</x:v>
      </x:c>
      <x:c r="M366" t="str">
        <x:v>Close-up realistic instructional DIY video: apply painter's tape along baseboard trim. Show painter's tape working on baseboard trim, wall. Hands visible, stable camera, no text overlay, neutral shop lighting.</x:v>
      </x:c>
      <x:c r="N366" s="14" t="n">
        <x:v>5</x:v>
      </x:c>
      <x:c r="O366" s="14" t="n">
        <x:v>100614</x:v>
      </x:c>
      <x:c r="P366" t="str">
        <x:v>R-A</x:v>
      </x:c>
      <x:c r="Q366" s="12" t="n">
        <x:v>3.47</x:v>
      </x:c>
      <x:c r="R366" s="12" t="n">
        <x:v>3.22</x:v>
      </x:c>
      <x:c r="S366" s="12" t="n">
        <x:v>3.63</x:v>
      </x:c>
      <x:c r="T366" s="12" t="n">
        <x:v>3.13</x:v>
      </x:c>
      <x:c r="U366" s="12" t="n">
        <x:v>3.23</x:v>
      </x:c>
      <x:c r="V366" s="12" t="n">
        <x:v>3.91</x:v>
      </x:c>
      <x:c r="W366" s="12" t="n">
        <x:f>ROUND((Q366*0.24)+(R366*0.22)+(S366*0.16)+(T366*0.18)+(U366*0.10)+(V366*0.10),2)</x:f>
        <x:v>3.4</x:v>
      </x:c>
      <x:c r="X366" t="str">
        <x:f>IF(W366&gt;=3.55,"Pass","Fail")</x:f>
        <x:v>Fail</x:v>
      </x:c>
      <x:c r="Y366" t="str">
        <x:v>material looks wrong</x:v>
      </x:c>
      <x:c r="Z366" t="str">
        <x:v>QA note: Too much is being implied. The painter's tape and baseboard trim, wall are in the scene, but the motion does not demonstrate the actual repair step. The mistake appears late, so a simple thumbnail review would probably miss it. The baseline prompt is likely under-specifying the tool path.</x:v>
      </x:c>
      <x:c r="AA366" t="str">
        <x:v>Add a one-sentence end-state requirement: viewer must see the completed taping result for one full second.</x:v>
      </x:c>
      <x:c r="AB366" t="str">
        <x:v>Medium-High</x:v>
      </x:c>
      <x:c r="AC366" t="str"/>
      <x:c r="AD366" t="str">
        <x:v>Planning dataset only; scores are plausible placeholders, not vendor claims.</x:v>
      </x:c>
    </x:row>
    <x:row r="367">
      <x:c r="A367" t="str">
        <x:v>S061-Vidu-DIR</x:v>
      </x:c>
      <x:c r="B367" t="str">
        <x:v>S061</x:v>
      </x:c>
      <x:c r="C367" t="str">
        <x:v>Painting</x:v>
      </x:c>
      <x:c r="D367" t="str">
        <x:v>surface prep</x:v>
      </x:c>
      <x:c r="E367" t="str">
        <x:v>taping</x:v>
      </x:c>
      <x:c r="F367" t="n">
        <x:v>2</x:v>
      </x:c>
      <x:c r="G367" t="str">
        <x:v>apply painter's tape along baseboard trim</x:v>
      </x:c>
      <x:c r="H367" t="str">
        <x:v>painter's tape</x:v>
      </x:c>
      <x:c r="I367" t="str">
        <x:v>baseboard trim, wall</x:v>
      </x:c>
      <x:c r="J367" t="str">
        <x:v>Vidu 2.0</x:v>
      </x:c>
      <x:c r="K367" t="str">
        <x:v>Direct Natural Language</x:v>
      </x:c>
      <x:c r="L367" t="str">
        <x:v>Baseline wording only; no explicit decomposition.</x:v>
      </x:c>
      <x:c r="M367" t="str">
        <x:v>Close-up realistic instructional DIY video: apply painter's tape along baseboard trim. Show painter's tape working on baseboard trim, wall. Hands visible, stable camera, no text overlay, neutral shop lighting.</x:v>
      </x:c>
      <x:c r="N367" s="14" t="n">
        <x:v>5</x:v>
      </x:c>
      <x:c r="O367" s="14" t="n">
        <x:v>100615</x:v>
      </x:c>
      <x:c r="P367" t="str">
        <x:v>R-D</x:v>
      </x:c>
      <x:c r="Q367" s="12" t="n">
        <x:v>3.08</x:v>
      </x:c>
      <x:c r="R367" s="12" t="n">
        <x:v>3.06</x:v>
      </x:c>
      <x:c r="S367" s="12" t="n">
        <x:v>3.07</x:v>
      </x:c>
      <x:c r="T367" s="12" t="n">
        <x:v>3.97</x:v>
      </x:c>
      <x:c r="U367" s="12" t="n">
        <x:v>3.78</x:v>
      </x:c>
      <x:c r="V367" s="12" t="n">
        <x:v>3.26</x:v>
      </x:c>
      <x:c r="W367" s="12" t="n">
        <x:f>ROUND((Q367*0.24)+(R367*0.22)+(S367*0.16)+(T367*0.18)+(U367*0.10)+(V367*0.10),2)</x:f>
        <x:v>3.32</x:v>
      </x:c>
      <x:c r="X367" t="str">
        <x:f>IF(W367&gt;=3.55,"Pass","Fail")</x:f>
        <x:v>Fail</x:v>
      </x:c>
      <x:c r="Y367" t="str">
        <x:v>wrong grip on tool</x:v>
      </x:c>
      <x:c r="Z367" t="str">
        <x:v>Rater note: The generated clip loses the procedure. I would re-run with a reference frame and a stricter Action-Object-Tool prompt. I would keep the same camera angle but ask for a tighter view of the contact point. The baseline prompt is likely under-specifying the tool path.</x:v>
      </x:c>
      <x:c r="AA367" t="str">
        <x:v>Use a reference image for the painter's tape and specify its grip/orientation in plain language.</x:v>
      </x:c>
      <x:c r="AB367" t="str">
        <x:v>Medium-High</x:v>
      </x:c>
      <x:c r="AC367" t="str"/>
      <x:c r="AD367" t="str">
        <x:v>Simulated pilot row for planning; replace with blinded ratings after generating actual clips.</x:v>
      </x:c>
    </x:row>
    <x:row r="368">
      <x:c r="A368" t="str">
        <x:v>S062-Veo-STR</x:v>
      </x:c>
      <x:c r="B368" t="str">
        <x:v>S062</x:v>
      </x:c>
      <x:c r="C368" t="str">
        <x:v>Painting</x:v>
      </x:c>
      <x:c r="D368" t="str">
        <x:v>surface prep</x:v>
      </x:c>
      <x:c r="E368" t="str">
        <x:v>sanding</x:v>
      </x:c>
      <x:c r="F368" t="n">
        <x:v>2</x:v>
      </x:c>
      <x:c r="G368" t="str">
        <x:v>lightly sand a patched wall spot before priming</x:v>
      </x:c>
      <x:c r="H368" t="str">
        <x:v>sanding sponge</x:v>
      </x:c>
      <x:c r="I368" t="str">
        <x:v>patched drywall spot</x:v>
      </x:c>
      <x:c r="J368" t="str">
        <x:v>Veo 3.1</x:v>
      </x:c>
      <x:c r="K368" t="str">
        <x:v>Structured Action-Object-Tool</x:v>
      </x:c>
      <x:c r="L368" t="str">
        <x:v>Action, tool, object, grip, contact point, start/end states.</x:v>
      </x:c>
      <x:c r="M368" t="str">
        <x:v>Close-up realistic instructional DIY video: lightly sand a patched wall spot before priming. Show sanding sponge working on patched drywall spot. Hands visible, stable camera, no text overlay, neutral shop lighting. Action=sanding; tool=sanding sponge; object/material=patched drywall spot; show tool-to-object contact; start state, motion, and finished state all visible.</x:v>
      </x:c>
      <x:c r="N368" s="14" t="n">
        <x:v>8</x:v>
      </x:c>
      <x:c r="O368" s="14" t="n">
        <x:v>100620</x:v>
      </x:c>
      <x:c r="P368" t="str">
        <x:v>R-E</x:v>
      </x:c>
      <x:c r="Q368" s="12" t="n">
        <x:v>4.28</x:v>
      </x:c>
      <x:c r="R368" s="12" t="n">
        <x:v>5</x:v>
      </x:c>
      <x:c r="S368" s="12" t="n">
        <x:v>4.68</x:v>
      </x:c>
      <x:c r="T368" s="12" t="n">
        <x:v>4.77</x:v>
      </x:c>
      <x:c r="U368" s="12" t="n">
        <x:v>4.71</x:v>
      </x:c>
      <x:c r="V368" s="12" t="n">
        <x:v>4.37</x:v>
      </x:c>
      <x:c r="W368" s="12" t="n">
        <x:f>ROUND((Q368*0.24)+(R368*0.22)+(S368*0.16)+(T368*0.18)+(U368*0.10)+(V368*0.10),2)</x:f>
        <x:v>4.64</x:v>
      </x:c>
      <x:c r="X368" t="str">
        <x:f>IF(W368&gt;=3.55,"Pass","Fail")</x:f>
        <x:v>Pass</x:v>
      </x:c>
      <x:c r="Y368" t="str">
        <x:v>none</x:v>
      </x:c>
      <x:c r="Z368" t="str">
        <x:v>Review note: Good continuity from frame to frame. The sanding sponge makes visual contact with the workpiece and the motion does not feel invented. I would keep the same camera angle but ask for a tighter view of the contact point. For this painting example, the main judgment is still whether the viewer can copy the motion.</x:v>
      </x:c>
      <x:c r="AA368" t="str">
        <x:v>No immediate re-run; keep as candidate and verify with a second rater.</x:v>
      </x:c>
      <x:c r="AB368" t="str">
        <x:v>Medium</x:v>
      </x:c>
      <x:c r="AC368" t="str"/>
      <x:c r="AD368" t="str">
        <x:v>Planning dataset only; scores are plausible placeholders, not vendor claims.</x:v>
      </x:c>
    </x:row>
    <x:row r="369">
      <x:c r="A369" t="str">
        <x:v>S062-Sora-STR</x:v>
      </x:c>
      <x:c r="B369" t="str">
        <x:v>S062</x:v>
      </x:c>
      <x:c r="C369" t="str">
        <x:v>Painting</x:v>
      </x:c>
      <x:c r="D369" t="str">
        <x:v>surface prep</x:v>
      </x:c>
      <x:c r="E369" t="str">
        <x:v>sanding</x:v>
      </x:c>
      <x:c r="F369" t="n">
        <x:v>2</x:v>
      </x:c>
      <x:c r="G369" t="str">
        <x:v>lightly sand a patched wall spot before priming</x:v>
      </x:c>
      <x:c r="H369" t="str">
        <x:v>sanding sponge</x:v>
      </x:c>
      <x:c r="I369" t="str">
        <x:v>patched drywall spot</x:v>
      </x:c>
      <x:c r="J369" t="str">
        <x:v>Sora 2 Pro</x:v>
      </x:c>
      <x:c r="K369" t="str">
        <x:v>Structured Action-Object-Tool</x:v>
      </x:c>
      <x:c r="L369" t="str">
        <x:v>Action, tool, object, grip, contact point, start/end states.</x:v>
      </x:c>
      <x:c r="M369" t="str">
        <x:v>Close-up realistic instructional DIY video: lightly sand a patched wall spot before priming. Show sanding sponge working on patched drywall spot. Hands visible, stable camera, no text overlay, neutral shop lighting. Action=sanding; tool=sanding sponge; object/material=patched drywall spot; show tool-to-object contact; start state, motion, and finished state all visible.</x:v>
      </x:c>
      <x:c r="N369" s="14" t="n">
        <x:v>8</x:v>
      </x:c>
      <x:c r="O369" s="14" t="n">
        <x:v>100621</x:v>
      </x:c>
      <x:c r="P369" t="str">
        <x:v>R-C</x:v>
      </x:c>
      <x:c r="Q369" s="12" t="n">
        <x:v>4.14</x:v>
      </x:c>
      <x:c r="R369" s="12" t="n">
        <x:v>4.66</x:v>
      </x:c>
      <x:c r="S369" s="12" t="n">
        <x:v>3.67</x:v>
      </x:c>
      <x:c r="T369" s="12" t="n">
        <x:v>4.1</x:v>
      </x:c>
      <x:c r="U369" s="12" t="n">
        <x:v>3.9</x:v>
      </x:c>
      <x:c r="V369" s="12" t="n">
        <x:v>4.38</x:v>
      </x:c>
      <x:c r="W369" s="12" t="n">
        <x:f>ROUND((Q369*0.24)+(R369*0.22)+(S369*0.16)+(T369*0.18)+(U369*0.10)+(V369*0.10),2)</x:f>
        <x:v>4.17</x:v>
      </x:c>
      <x:c r="X369" t="str">
        <x:f>IF(W369&gt;=3.55,"Pass","Fail")</x:f>
        <x:v>Pass</x:v>
      </x:c>
      <x:c r="Y369" t="str">
        <x:v>motion slightly compressed</x:v>
      </x:c>
      <x:c r="Z369" t="str">
        <x:v>Rater note: Best part is the pacing: it gives enough time to understand sanding without turning into a beauty shot. Minor issue: implied contact instead of visible contact. I would keep the same camera angle but ask for a tighter view of the contact point. For this painting example, the main judgment is still whether the viewer can copy the motion.</x:v>
      </x:c>
      <x:c r="AA369" t="str">
        <x:v>Specify the exact contact point and do not allow the hand to cover it.</x:v>
      </x:c>
      <x:c r="AB369" t="str">
        <x:v>Medium-High</x:v>
      </x:c>
      <x:c r="AC369" t="str"/>
      <x:c r="AD369" t="str">
        <x:v>Synthetic benchmark entry; generated clip URL should be filled after API run.</x:v>
      </x:c>
    </x:row>
    <x:row r="370">
      <x:c r="A370" t="str">
        <x:v>S062-Runway-STR</x:v>
      </x:c>
      <x:c r="B370" t="str">
        <x:v>S062</x:v>
      </x:c>
      <x:c r="C370" t="str">
        <x:v>Painting</x:v>
      </x:c>
      <x:c r="D370" t="str">
        <x:v>surface prep</x:v>
      </x:c>
      <x:c r="E370" t="str">
        <x:v>sanding</x:v>
      </x:c>
      <x:c r="F370" t="n">
        <x:v>2</x:v>
      </x:c>
      <x:c r="G370" t="str">
        <x:v>lightly sand a patched wall spot before priming</x:v>
      </x:c>
      <x:c r="H370" t="str">
        <x:v>sanding sponge</x:v>
      </x:c>
      <x:c r="I370" t="str">
        <x:v>patched drywall spot</x:v>
      </x:c>
      <x:c r="J370" t="str">
        <x:v>Runway Gen-4.5</x:v>
      </x:c>
      <x:c r="K370" t="str">
        <x:v>Structured Action-Object-Tool</x:v>
      </x:c>
      <x:c r="L370" t="str">
        <x:v>Action, tool, object, grip, contact point, start/end states.</x:v>
      </x:c>
      <x:c r="M370" t="str">
        <x:v>Close-up realistic instructional DIY video: lightly sand a patched wall spot before priming. Show sanding sponge working on patched drywall spot. Hands visible, stable camera, no text overlay, neutral shop lighting. Action=sanding; tool=sanding sponge; object/material=patched drywall spot; show tool-to-object contact; start state, motion, and finished state all visible.</x:v>
      </x:c>
      <x:c r="N370" s="14" t="n">
        <x:v>5</x:v>
      </x:c>
      <x:c r="O370" s="14" t="n">
        <x:v>100622</x:v>
      </x:c>
      <x:c r="P370" t="str">
        <x:v>R-E</x:v>
      </x:c>
      <x:c r="Q370" s="12" t="n">
        <x:v>4.64</x:v>
      </x:c>
      <x:c r="R370" s="12" t="n">
        <x:v>4.23</x:v>
      </x:c>
      <x:c r="S370" s="12" t="n">
        <x:v>4.19</x:v>
      </x:c>
      <x:c r="T370" s="12" t="n">
        <x:v>4.17</x:v>
      </x:c>
      <x:c r="U370" s="12" t="n">
        <x:v>4.38</x:v>
      </x:c>
      <x:c r="V370" s="12" t="n">
        <x:v>3.91</x:v>
      </x:c>
      <x:c r="W370" s="12" t="n">
        <x:f>ROUND((Q370*0.24)+(R370*0.22)+(S370*0.16)+(T370*0.18)+(U370*0.10)+(V370*0.10),2)</x:f>
        <x:v>4.29</x:v>
      </x:c>
      <x:c r="X370" t="str">
        <x:f>IF(W370&gt;=3.55,"Pass","Fail")</x:f>
        <x:v>Pass</x:v>
      </x:c>
      <x:c r="Y370" t="str">
        <x:v>none</x:v>
      </x:c>
      <x:c r="Z370" t="str">
        <x:v>Human check: This one would probably pass a quick review. The sanding sponge stays believable, the start and end states are easy to read, and the only nit is that short clip compresses the final step. This reads better as a teaser than as an instructional clip. For this painting example, the main judgment is still whether the viewer can copy the motion.</x:v>
      </x:c>
      <x:c r="AA370" t="str">
        <x:v>No immediate re-run; keep as candidate and verify with a second rater.</x:v>
      </x:c>
      <x:c r="AB370" t="str">
        <x:v>High</x:v>
      </x:c>
      <x:c r="AC370" t="str"/>
      <x:c r="AD370" t="str">
        <x:v>Synthetic benchmark entry; generated clip URL should be filled after API run.</x:v>
      </x:c>
    </x:row>
    <x:row r="371">
      <x:c r="A371" t="str">
        <x:v>S062-Kling-STR</x:v>
      </x:c>
      <x:c r="B371" t="str">
        <x:v>S062</x:v>
      </x:c>
      <x:c r="C371" t="str">
        <x:v>Painting</x:v>
      </x:c>
      <x:c r="D371" t="str">
        <x:v>surface prep</x:v>
      </x:c>
      <x:c r="E371" t="str">
        <x:v>sanding</x:v>
      </x:c>
      <x:c r="F371" t="n">
        <x:v>2</x:v>
      </x:c>
      <x:c r="G371" t="str">
        <x:v>lightly sand a patched wall spot before priming</x:v>
      </x:c>
      <x:c r="H371" t="str">
        <x:v>sanding sponge</x:v>
      </x:c>
      <x:c r="I371" t="str">
        <x:v>patched drywall spot</x:v>
      </x:c>
      <x:c r="J371" t="str">
        <x:v>Kling v3.0 (Replicate)</x:v>
      </x:c>
      <x:c r="K371" t="str">
        <x:v>Structured Action-Object-Tool</x:v>
      </x:c>
      <x:c r="L371" t="str">
        <x:v>Action, tool, object, grip, contact point, start/end states.</x:v>
      </x:c>
      <x:c r="M371" t="str">
        <x:v>Close-up realistic instructional DIY video: lightly sand a patched wall spot before priming. Show sanding sponge working on patched drywall spot. Hands visible, stable camera, no text overlay, neutral shop lighting. Action=sanding; tool=sanding sponge; object/material=patched drywall spot; show tool-to-object contact; start state, motion, and finished state all visible.</x:v>
      </x:c>
      <x:c r="N371" s="14" t="n">
        <x:v>10</x:v>
      </x:c>
      <x:c r="O371" s="14" t="n">
        <x:v>100623</x:v>
      </x:c>
      <x:c r="P371" t="str">
        <x:v>R-D</x:v>
      </x:c>
      <x:c r="Q371" s="12" t="n">
        <x:v>4.09</x:v>
      </x:c>
      <x:c r="R371" s="12" t="n">
        <x:v>4.22</x:v>
      </x:c>
      <x:c r="S371" s="12" t="n">
        <x:v>3.85</x:v>
      </x:c>
      <x:c r="T371" s="12" t="n">
        <x:v>4.32</x:v>
      </x:c>
      <x:c r="U371" s="12" t="n">
        <x:v>3.93</x:v>
      </x:c>
      <x:c r="V371" s="12" t="n">
        <x:v>3.42</x:v>
      </x:c>
      <x:c r="W371" s="12" t="n">
        <x:f>ROUND((Q371*0.24)+(R371*0.22)+(S371*0.16)+(T371*0.18)+(U371*0.10)+(V371*0.10),2)</x:f>
        <x:v>4.04</x:v>
      </x:c>
      <x:c r="X371" t="str">
        <x:f>IF(W371&gt;=3.55,"Pass","Fail")</x:f>
        <x:v>Pass</x:v>
      </x:c>
      <x:c r="Y371" t="str">
        <x:v>tool pose a little soft</x:v>
      </x:c>
      <x:c r="Z371" t="str">
        <x:v>Review note: Usable, but I would not show it without review. The sanding sponge is recognizable, yet the exact contact point is hard to see when the hand crosses the frame. On a small preview it might pass, but full-screen review exposes the issue. For this painting example, the main judgment is still whether the viewer can copy the motion.</x:v>
      </x:c>
      <x:c r="AA371" t="str">
        <x:v>Ask for a static close-up and require the sanding sponge to touch the patched drywall spot before any motion starts.</x:v>
      </x:c>
      <x:c r="AB371" t="str">
        <x:v>Medium</x:v>
      </x:c>
      <x:c r="AC371" t="str"/>
      <x:c r="AD371" t="str">
        <x:v>Planning dataset only; scores are plausible placeholders, not vendor claims.</x:v>
      </x:c>
    </x:row>
    <x:row r="372">
      <x:c r="A372" t="str">
        <x:v>S062-Pika-STR</x:v>
      </x:c>
      <x:c r="B372" t="str">
        <x:v>S062</x:v>
      </x:c>
      <x:c r="C372" t="str">
        <x:v>Painting</x:v>
      </x:c>
      <x:c r="D372" t="str">
        <x:v>surface prep</x:v>
      </x:c>
      <x:c r="E372" t="str">
        <x:v>sanding</x:v>
      </x:c>
      <x:c r="F372" t="n">
        <x:v>2</x:v>
      </x:c>
      <x:c r="G372" t="str">
        <x:v>lightly sand a patched wall spot before priming</x:v>
      </x:c>
      <x:c r="H372" t="str">
        <x:v>sanding sponge</x:v>
      </x:c>
      <x:c r="I372" t="str">
        <x:v>patched drywall spot</x:v>
      </x:c>
      <x:c r="J372" t="str">
        <x:v>Pika 2.2</x:v>
      </x:c>
      <x:c r="K372" t="str">
        <x:v>Structured Action-Object-Tool</x:v>
      </x:c>
      <x:c r="L372" t="str">
        <x:v>Action, tool, object, grip, contact point, start/end states.</x:v>
      </x:c>
      <x:c r="M372" t="str">
        <x:v>Close-up realistic instructional DIY video: lightly sand a patched wall spot before priming. Show sanding sponge working on patched drywall spot. Hands visible, stable camera, no text overlay, neutral shop lighting. Action=sanding; tool=sanding sponge; object/material=patched drywall spot; show tool-to-object contact; start state, motion, and finished state all visible.</x:v>
      </x:c>
      <x:c r="N372" s="14" t="n">
        <x:v>5</x:v>
      </x:c>
      <x:c r="O372" s="14" t="n">
        <x:v>100624</x:v>
      </x:c>
      <x:c r="P372" t="str">
        <x:v>R-B</x:v>
      </x:c>
      <x:c r="Q372" s="12" t="n">
        <x:v>4.48</x:v>
      </x:c>
      <x:c r="R372" s="12" t="n">
        <x:v>3.63</x:v>
      </x:c>
      <x:c r="S372" s="12" t="n">
        <x:v>3.7</x:v>
      </x:c>
      <x:c r="T372" s="12" t="n">
        <x:v>3.66</x:v>
      </x:c>
      <x:c r="U372" s="12" t="n">
        <x:v>3.82</x:v>
      </x:c>
      <x:c r="V372" s="12" t="n">
        <x:v>3.53</x:v>
      </x:c>
      <x:c r="W372" s="12" t="n">
        <x:f>ROUND((Q372*0.24)+(R372*0.22)+(S372*0.16)+(T372*0.18)+(U372*0.10)+(V372*0.10),2)</x:f>
        <x:v>3.86</x:v>
      </x:c>
      <x:c r="X372" t="str">
        <x:f>IF(W372&gt;=3.55,"Pass","Fail")</x:f>
        <x:v>Pass</x:v>
      </x:c>
      <x:c r="Y372" t="str">
        <x:v>minor continuity jump</x:v>
      </x:c>
      <x:c r="Z372" t="str">
        <x:v>Human check: The intention is clear, especially if you already know the step. A novice might miss the key detail because this issue appears right where the action should be most explicit: minor continuity jump. The mistake appears late, so a simple thumbnail review would probably miss it. For this painting example, the main judgment is still whether the viewer can copy the motion.</x:v>
      </x:c>
      <x:c r="AA372" t="str">
        <x:v>Use a reference image for the sanding sponge and specify its grip/orientation in plain language.</x:v>
      </x:c>
      <x:c r="AB372" t="str">
        <x:v>Medium</x:v>
      </x:c>
      <x:c r="AC372" t="str"/>
      <x:c r="AD372" t="str">
        <x:v>Planning dataset only; scores are plausible placeholders, not vendor claims.</x:v>
      </x:c>
    </x:row>
    <x:row r="373">
      <x:c r="A373" t="str">
        <x:v>S062-Vidu-STR</x:v>
      </x:c>
      <x:c r="B373" t="str">
        <x:v>S062</x:v>
      </x:c>
      <x:c r="C373" t="str">
        <x:v>Painting</x:v>
      </x:c>
      <x:c r="D373" t="str">
        <x:v>surface prep</x:v>
      </x:c>
      <x:c r="E373" t="str">
        <x:v>sanding</x:v>
      </x:c>
      <x:c r="F373" t="n">
        <x:v>2</x:v>
      </x:c>
      <x:c r="G373" t="str">
        <x:v>lightly sand a patched wall spot before priming</x:v>
      </x:c>
      <x:c r="H373" t="str">
        <x:v>sanding sponge</x:v>
      </x:c>
      <x:c r="I373" t="str">
        <x:v>patched drywall spot</x:v>
      </x:c>
      <x:c r="J373" t="str">
        <x:v>Vidu 2.0</x:v>
      </x:c>
      <x:c r="K373" t="str">
        <x:v>Structured Action-Object-Tool</x:v>
      </x:c>
      <x:c r="L373" t="str">
        <x:v>Action, tool, object, grip, contact point, start/end states.</x:v>
      </x:c>
      <x:c r="M373" t="str">
        <x:v>Close-up realistic instructional DIY video: lightly sand a patched wall spot before priming. Show sanding sponge working on patched drywall spot. Hands visible, stable camera, no text overlay, neutral shop lighting. Action=sanding; tool=sanding sponge; object/material=patched drywall spot; show tool-to-object contact; start state, motion, and finished state all visible.</x:v>
      </x:c>
      <x:c r="N373" s="14" t="n">
        <x:v>5</x:v>
      </x:c>
      <x:c r="O373" s="14" t="n">
        <x:v>100625</x:v>
      </x:c>
      <x:c r="P373" t="str">
        <x:v>R-B</x:v>
      </x:c>
      <x:c r="Q373" s="12" t="n">
        <x:v>3.68</x:v>
      </x:c>
      <x:c r="R373" s="12" t="n">
        <x:v>3.8</x:v>
      </x:c>
      <x:c r="S373" s="12" t="n">
        <x:v>3.46</x:v>
      </x:c>
      <x:c r="T373" s="12" t="n">
        <x:v>4.05</x:v>
      </x:c>
      <x:c r="U373" s="12" t="n">
        <x:v>3.2</x:v>
      </x:c>
      <x:c r="V373" s="12" t="n">
        <x:v>3.61</x:v>
      </x:c>
      <x:c r="W373" s="12" t="n">
        <x:f>ROUND((Q373*0.24)+(R373*0.22)+(S373*0.16)+(T373*0.18)+(U373*0.10)+(V373*0.10),2)</x:f>
        <x:v>3.68</x:v>
      </x:c>
      <x:c r="X373" t="str">
        <x:f>IF(W373&gt;=3.55,"Pass","Fail")</x:f>
        <x:v>Pass</x:v>
      </x:c>
      <x:c r="Y373" t="str">
        <x:v>object morphs</x:v>
      </x:c>
      <x:c r="Z373" t="str">
        <x:v>Human check: Usable, but I would not show it without review. The sanding sponge is recognizable, yet the exact contact point is hard to see when the hand crosses the frame. On a small preview it might pass, but full-screen review exposes the issue. For this painting example, the main judgment is still whether the viewer can copy the motion.</x:v>
      </x:c>
      <x:c r="AA373" t="str">
        <x:v>Use a reference image for the sanding sponge and specify its grip/orientation in plain language.</x:v>
      </x:c>
      <x:c r="AB373" t="str">
        <x:v>High</x:v>
      </x:c>
      <x:c r="AC373" t="str"/>
      <x:c r="AD373" t="str">
        <x:v>Synthetic benchmark entry; generated clip URL should be filled after API run.</x:v>
      </x:c>
    </x:row>
    <x:row r="374">
      <x:c r="A374" t="str">
        <x:v>S063-Veo-MET</x:v>
      </x:c>
      <x:c r="B374" t="str">
        <x:v>S063</x:v>
      </x:c>
      <x:c r="C374" t="str">
        <x:v>Painting</x:v>
      </x:c>
      <x:c r="D374" t="str">
        <x:v>surface prep</x:v>
      </x:c>
      <x:c r="E374" t="str">
        <x:v>wiping</x:v>
      </x:c>
      <x:c r="F374" t="n">
        <x:v>1</x:v>
      </x:c>
      <x:c r="G374" t="str">
        <x:v>wipe dust from the wall with a tack cloth</x:v>
      </x:c>
      <x:c r="H374" t="str">
        <x:v>tack cloth</x:v>
      </x:c>
      <x:c r="I374" t="str">
        <x:v>painted wall</x:v>
      </x:c>
      <x:c r="J374" t="str">
        <x:v>Veo 3.1</x:v>
      </x:c>
      <x:c r="K374" t="str">
        <x:v>Metadata-Enriched</x:v>
      </x:c>
      <x:c r="L374" t="str">
        <x:v>Uses clipDescription, clipSummary, toolNames, suppliesNames, processTechniques, safetyEquipment.</x:v>
      </x:c>
      <x:c r="M374" t="str">
        <x:v>Close-up realistic instructional DIY video: wipe dust from the wall with a tack cloth. Show tack cloth working on painted wall. Hands visible, stable camera, no text overlay, neutral shop lighting. clipDescription='wipe dust from the wall with a tack cloth'. clipSummary='one practical repair step'. toolNames='tack cloth'. suppliesNames='painted wall'. processTechnique='wiping'. Safety cue: use normal homeowner precautions and avoid risky shortcuts.</x:v>
      </x:c>
      <x:c r="N374" s="14" t="n">
        <x:v>8</x:v>
      </x:c>
      <x:c r="O374" s="14" t="n">
        <x:v>100630</x:v>
      </x:c>
      <x:c r="P374" t="str">
        <x:v>R-A</x:v>
      </x:c>
      <x:c r="Q374" s="12" t="n">
        <x:v>4.71</x:v>
      </x:c>
      <x:c r="R374" s="12" t="n">
        <x:v>4.19</x:v>
      </x:c>
      <x:c r="S374" s="12" t="n">
        <x:v>4.69</x:v>
      </x:c>
      <x:c r="T374" s="12" t="n">
        <x:v>4.75</x:v>
      </x:c>
      <x:c r="U374" s="12" t="n">
        <x:v>4.52</x:v>
      </x:c>
      <x:c r="V374" s="12" t="n">
        <x:v>4.48</x:v>
      </x:c>
      <x:c r="W374" s="12" t="n">
        <x:f>ROUND((Q374*0.24)+(R374*0.22)+(S374*0.16)+(T374*0.18)+(U374*0.10)+(V374*0.10),2)</x:f>
        <x:v>4.56</x:v>
      </x:c>
      <x:c r="X374" t="str">
        <x:f>IF(W374&gt;=3.55,"Pass","Fail")</x:f>
        <x:v>Pass</x:v>
      </x:c>
      <x:c r="Y374" t="str">
        <x:v>none</x:v>
      </x:c>
      <x:c r="Z374" t="str">
        <x:v>Human check: This one would probably pass a quick review. The tack cloth stays believable, the start and end states are easy to read, and the only nit is that occasional extra hand. The next prompt should slow the final second instead of adding more scene detail. For this painting example, the main judgment is still whether the viewer can copy the motion.</x:v>
      </x:c>
      <x:c r="AA374" t="str">
        <x:v>No immediate re-run; keep as candidate and verify with a second rater.</x:v>
      </x:c>
      <x:c r="AB374" t="str">
        <x:v>Medium-High</x:v>
      </x:c>
      <x:c r="AC374" t="str"/>
      <x:c r="AD374" t="str">
        <x:v>Planning dataset only; scores are plausible placeholders, not vendor claims.</x:v>
      </x:c>
    </x:row>
    <x:row r="375">
      <x:c r="A375" t="str">
        <x:v>S063-Sora-MET</x:v>
      </x:c>
      <x:c r="B375" t="str">
        <x:v>S063</x:v>
      </x:c>
      <x:c r="C375" t="str">
        <x:v>Painting</x:v>
      </x:c>
      <x:c r="D375" t="str">
        <x:v>surface prep</x:v>
      </x:c>
      <x:c r="E375" t="str">
        <x:v>wiping</x:v>
      </x:c>
      <x:c r="F375" t="n">
        <x:v>1</x:v>
      </x:c>
      <x:c r="G375" t="str">
        <x:v>wipe dust from the wall with a tack cloth</x:v>
      </x:c>
      <x:c r="H375" t="str">
        <x:v>tack cloth</x:v>
      </x:c>
      <x:c r="I375" t="str">
        <x:v>painted wall</x:v>
      </x:c>
      <x:c r="J375" t="str">
        <x:v>Sora 2 Pro</x:v>
      </x:c>
      <x:c r="K375" t="str">
        <x:v>Metadata-Enriched</x:v>
      </x:c>
      <x:c r="L375" t="str">
        <x:v>Uses clipDescription, clipSummary, toolNames, suppliesNames, processTechniques, safetyEquipment.</x:v>
      </x:c>
      <x:c r="M375" t="str">
        <x:v>Close-up realistic instructional DIY video: wipe dust from the wall with a tack cloth. Show tack cloth working on painted wall. Hands visible, stable camera, no text overlay, neutral shop lighting. clipDescription='wipe dust from the wall with a tack cloth'. clipSummary='one practical repair step'. toolNames='tack cloth'. suppliesNames='painted wall'. processTechnique='wiping'. Safety cue: use normal homeowner precautions and avoid risky shortcuts.</x:v>
      </x:c>
      <x:c r="N375" s="14" t="n">
        <x:v>8</x:v>
      </x:c>
      <x:c r="O375" s="14" t="n">
        <x:v>100631</x:v>
      </x:c>
      <x:c r="P375" t="str">
        <x:v>R-A</x:v>
      </x:c>
      <x:c r="Q375" s="12" t="n">
        <x:v>4.39</x:v>
      </x:c>
      <x:c r="R375" s="12" t="n">
        <x:v>4.47</x:v>
      </x:c>
      <x:c r="S375" s="12" t="n">
        <x:v>4.54</x:v>
      </x:c>
      <x:c r="T375" s="12" t="n">
        <x:v>4.54</x:v>
      </x:c>
      <x:c r="U375" s="12" t="n">
        <x:v>4.45</x:v>
      </x:c>
      <x:c r="V375" s="12" t="n">
        <x:v>4.69</x:v>
      </x:c>
      <x:c r="W375" s="12" t="n">
        <x:f>ROUND((Q375*0.24)+(R375*0.22)+(S375*0.16)+(T375*0.18)+(U375*0.10)+(V375*0.10),2)</x:f>
        <x:v>4.49</x:v>
      </x:c>
      <x:c r="X375" t="str">
        <x:f>IF(W375&gt;=3.55,"Pass","Fail")</x:f>
        <x:v>Pass</x:v>
      </x:c>
      <x:c r="Y375" t="str">
        <x:v>none</x:v>
      </x:c>
      <x:c r="Z375" t="str">
        <x:v>Review note: This one would probably pass a quick review. The tack cloth stays believable, the start and end states are easy to read, and the only nit is that implied contact instead of visible contact. The issue is subtle visually, but it matters because the clip is supposed to teach the technique. For this painting example, the main judgment is still whether the viewer can copy the motion.</x:v>
      </x:c>
      <x:c r="AA375" t="str">
        <x:v>No immediate re-run; keep as candidate and verify with a second rater.</x:v>
      </x:c>
      <x:c r="AB375" t="str">
        <x:v>Medium-High</x:v>
      </x:c>
      <x:c r="AC375" t="str"/>
      <x:c r="AD375" t="str">
        <x:v>Mock rater record for experiment design; audit against real video outputs before publication.</x:v>
      </x:c>
    </x:row>
    <x:row r="376">
      <x:c r="A376" t="str">
        <x:v>S063-Runway-MET</x:v>
      </x:c>
      <x:c r="B376" t="str">
        <x:v>S063</x:v>
      </x:c>
      <x:c r="C376" t="str">
        <x:v>Painting</x:v>
      </x:c>
      <x:c r="D376" t="str">
        <x:v>surface prep</x:v>
      </x:c>
      <x:c r="E376" t="str">
        <x:v>wiping</x:v>
      </x:c>
      <x:c r="F376" t="n">
        <x:v>1</x:v>
      </x:c>
      <x:c r="G376" t="str">
        <x:v>wipe dust from the wall with a tack cloth</x:v>
      </x:c>
      <x:c r="H376" t="str">
        <x:v>tack cloth</x:v>
      </x:c>
      <x:c r="I376" t="str">
        <x:v>painted wall</x:v>
      </x:c>
      <x:c r="J376" t="str">
        <x:v>Runway Gen-4.5</x:v>
      </x:c>
      <x:c r="K376" t="str">
        <x:v>Metadata-Enriched</x:v>
      </x:c>
      <x:c r="L376" t="str">
        <x:v>Uses clipDescription, clipSummary, toolNames, suppliesNames, processTechniques, safetyEquipment.</x:v>
      </x:c>
      <x:c r="M376" t="str">
        <x:v>Close-up realistic instructional DIY video: wipe dust from the wall with a tack cloth. Show tack cloth working on painted wall. Hands visible, stable camera, no text overlay, neutral shop lighting. clipDescription='wipe dust from the wall with a tack cloth'. clipSummary='one practical repair step'. toolNames='tack cloth'. suppliesNames='painted wall'. processTechnique='wiping'. Safety cue: use normal homeowner precautions and avoid risky shortcuts.</x:v>
      </x:c>
      <x:c r="N376" s="14" t="n">
        <x:v>5</x:v>
      </x:c>
      <x:c r="O376" s="14" t="n">
        <x:v>100632</x:v>
      </x:c>
      <x:c r="P376" t="str">
        <x:v>R-E</x:v>
      </x:c>
      <x:c r="Q376" s="12" t="n">
        <x:v>4.13</x:v>
      </x:c>
      <x:c r="R376" s="12" t="n">
        <x:v>4.17</x:v>
      </x:c>
      <x:c r="S376" s="12" t="n">
        <x:v>4.37</x:v>
      </x:c>
      <x:c r="T376" s="12" t="n">
        <x:v>4.53</x:v>
      </x:c>
      <x:c r="U376" s="12" t="n">
        <x:v>4.11</x:v>
      </x:c>
      <x:c r="V376" s="12" t="n">
        <x:v>3.77</x:v>
      </x:c>
      <x:c r="W376" s="12" t="n">
        <x:f>ROUND((Q376*0.24)+(R376*0.22)+(S376*0.16)+(T376*0.18)+(U376*0.10)+(V376*0.10),2)</x:f>
        <x:v>4.21</x:v>
      </x:c>
      <x:c r="X376" t="str">
        <x:f>IF(W376&gt;=3.55,"Pass","Fail")</x:f>
        <x:v>Pass</x:v>
      </x:c>
      <x:c r="Y376" t="str">
        <x:v>none</x:v>
      </x:c>
      <x:c r="Z376" t="str">
        <x:v>Rater note: Clear enough for a learner. The workpiece does not wander and the camera stays on the painted wall; I would still add a freeze or caption after generation. The mistake appears late, so a simple thumbnail review would probably miss it. For this painting example, the main judgment is still whether the viewer can copy the motion.</x:v>
      </x:c>
      <x:c r="AA376" t="str">
        <x:v>Use sequential context only for continuity, not for adding previous/next steps into the frame.</x:v>
      </x:c>
      <x:c r="AB376" t="str">
        <x:v>Medium</x:v>
      </x:c>
      <x:c r="AC376" t="str"/>
      <x:c r="AD376" t="str">
        <x:v>Mock rater record for experiment design; audit against real video outputs before publication.</x:v>
      </x:c>
    </x:row>
    <x:row r="377">
      <x:c r="A377" t="str">
        <x:v>S063-Kling-MET</x:v>
      </x:c>
      <x:c r="B377" t="str">
        <x:v>S063</x:v>
      </x:c>
      <x:c r="C377" t="str">
        <x:v>Painting</x:v>
      </x:c>
      <x:c r="D377" t="str">
        <x:v>surface prep</x:v>
      </x:c>
      <x:c r="E377" t="str">
        <x:v>wiping</x:v>
      </x:c>
      <x:c r="F377" t="n">
        <x:v>1</x:v>
      </x:c>
      <x:c r="G377" t="str">
        <x:v>wipe dust from the wall with a tack cloth</x:v>
      </x:c>
      <x:c r="H377" t="str">
        <x:v>tack cloth</x:v>
      </x:c>
      <x:c r="I377" t="str">
        <x:v>painted wall</x:v>
      </x:c>
      <x:c r="J377" t="str">
        <x:v>Kling v3.0 (Replicate)</x:v>
      </x:c>
      <x:c r="K377" t="str">
        <x:v>Metadata-Enriched</x:v>
      </x:c>
      <x:c r="L377" t="str">
        <x:v>Uses clipDescription, clipSummary, toolNames, suppliesNames, processTechniques, safetyEquipment.</x:v>
      </x:c>
      <x:c r="M377" t="str">
        <x:v>Close-up realistic instructional DIY video: wipe dust from the wall with a tack cloth. Show tack cloth working on painted wall. Hands visible, stable camera, no text overlay, neutral shop lighting. clipDescription='wipe dust from the wall with a tack cloth'. clipSummary='one practical repair step'. toolNames='tack cloth'. suppliesNames='painted wall'. processTechnique='wiping'. Safety cue: use normal homeowner precautions and avoid risky shortcuts.</x:v>
      </x:c>
      <x:c r="N377" s="14" t="n">
        <x:v>10</x:v>
      </x:c>
      <x:c r="O377" s="14" t="n">
        <x:v>100633</x:v>
      </x:c>
      <x:c r="P377" t="str">
        <x:v>R-E</x:v>
      </x:c>
      <x:c r="Q377" s="12" t="n">
        <x:v>4.38</x:v>
      </x:c>
      <x:c r="R377" s="12" t="n">
        <x:v>4.6</x:v>
      </x:c>
      <x:c r="S377" s="12" t="n">
        <x:v>3.67</x:v>
      </x:c>
      <x:c r="T377" s="12" t="n">
        <x:v>4.14</x:v>
      </x:c>
      <x:c r="U377" s="12" t="n">
        <x:v>3.93</x:v>
      </x:c>
      <x:c r="V377" s="12" t="n">
        <x:v>3.78</x:v>
      </x:c>
      <x:c r="W377" s="12" t="n">
        <x:f>ROUND((Q377*0.24)+(R377*0.22)+(S377*0.16)+(T377*0.18)+(U377*0.10)+(V377*0.10),2)</x:f>
        <x:v>4.17</x:v>
      </x:c>
      <x:c r="X377" t="str">
        <x:f>IF(W377&gt;=3.55,"Pass","Fail")</x:f>
        <x:v>Pass</x:v>
      </x:c>
      <x:c r="Y377" t="str">
        <x:v>endpoint not visible</x:v>
      </x:c>
      <x:c r="Z377" t="str">
        <x:v>Review note: Good continuity from frame to frame. The tack cloth makes visual contact with the workpiece and the motion does not feel invented. I marked it down for the key moment rather than the opening setup. For this painting example, the main judgment is still whether the viewer can copy the motion.</x:v>
      </x:c>
      <x:c r="AA377" t="str">
        <x:v>Add a one-sentence end-state requirement: viewer must see the completed wiping result for one full second.</x:v>
      </x:c>
      <x:c r="AB377" t="str">
        <x:v>High</x:v>
      </x:c>
      <x:c r="AC377" t="str"/>
      <x:c r="AD377" t="str">
        <x:v>Synthetic benchmark entry; generated clip URL should be filled after API run.</x:v>
      </x:c>
    </x:row>
    <x:row r="378">
      <x:c r="A378" t="str">
        <x:v>S063-Pika-MET</x:v>
      </x:c>
      <x:c r="B378" t="str">
        <x:v>S063</x:v>
      </x:c>
      <x:c r="C378" t="str">
        <x:v>Painting</x:v>
      </x:c>
      <x:c r="D378" t="str">
        <x:v>surface prep</x:v>
      </x:c>
      <x:c r="E378" t="str">
        <x:v>wiping</x:v>
      </x:c>
      <x:c r="F378" t="n">
        <x:v>1</x:v>
      </x:c>
      <x:c r="G378" t="str">
        <x:v>wipe dust from the wall with a tack cloth</x:v>
      </x:c>
      <x:c r="H378" t="str">
        <x:v>tack cloth</x:v>
      </x:c>
      <x:c r="I378" t="str">
        <x:v>painted wall</x:v>
      </x:c>
      <x:c r="J378" t="str">
        <x:v>Pika 2.2</x:v>
      </x:c>
      <x:c r="K378" t="str">
        <x:v>Metadata-Enriched</x:v>
      </x:c>
      <x:c r="L378" t="str">
        <x:v>Uses clipDescription, clipSummary, toolNames, suppliesNames, processTechniques, safetyEquipment.</x:v>
      </x:c>
      <x:c r="M378" t="str">
        <x:v>Close-up realistic instructional DIY video: wipe dust from the wall with a tack cloth. Show tack cloth working on painted wall. Hands visible, stable camera, no text overlay, neutral shop lighting. clipDescription='wipe dust from the wall with a tack cloth'. clipSummary='one practical repair step'. toolNames='tack cloth'. suppliesNames='painted wall'. processTechnique='wiping'. Safety cue: use normal homeowner precautions and avoid risky shortcuts.</x:v>
      </x:c>
      <x:c r="N378" s="14" t="n">
        <x:v>5</x:v>
      </x:c>
      <x:c r="O378" s="14" t="n">
        <x:v>100634</x:v>
      </x:c>
      <x:c r="P378" t="str">
        <x:v>R-E</x:v>
      </x:c>
      <x:c r="Q378" s="12" t="n">
        <x:v>3.66</x:v>
      </x:c>
      <x:c r="R378" s="12" t="n">
        <x:v>3.85</x:v>
      </x:c>
      <x:c r="S378" s="12" t="n">
        <x:v>4.24</x:v>
      </x:c>
      <x:c r="T378" s="12" t="n">
        <x:v>4.16</x:v>
      </x:c>
      <x:c r="U378" s="12" t="n">
        <x:v>4.03</x:v>
      </x:c>
      <x:c r="V378" s="12" t="n">
        <x:v>3.81</x:v>
      </x:c>
      <x:c r="W378" s="12" t="n">
        <x:f>ROUND((Q378*0.24)+(R378*0.22)+(S378*0.16)+(T378*0.18)+(U378*0.10)+(V378*0.10),2)</x:f>
        <x:v>3.94</x:v>
      </x:c>
      <x:c r="X378" t="str">
        <x:f>IF(W378&gt;=3.55,"Pass","Fail")</x:f>
        <x:v>Pass</x:v>
      </x:c>
      <x:c r="Y378" t="str">
        <x:v>endpoint not visible</x:v>
      </x:c>
      <x:c r="Z378" t="str">
        <x:v>QA note: I would keep this as a rough candidate. It communicates the step, although the failure mode makes it weaker than a real sourced clip: endpoint not visible. The clip needs a verifier pass before it can enter the training pool. For this painting example, the main judgment is still whether the viewer can copy the motion.</x:v>
      </x:c>
      <x:c r="AA378" t="str">
        <x:v>Use sequential context only for continuity, not for adding previous/next steps into the frame.</x:v>
      </x:c>
      <x:c r="AB378" t="str">
        <x:v>Medium</x:v>
      </x:c>
      <x:c r="AC378" t="str"/>
      <x:c r="AD378" t="str">
        <x:v>Simulated pilot row for planning; replace with blinded ratings after generating actual clips.</x:v>
      </x:c>
    </x:row>
    <x:row r="379">
      <x:c r="A379" t="str">
        <x:v>S063-Vidu-MET</x:v>
      </x:c>
      <x:c r="B379" t="str">
        <x:v>S063</x:v>
      </x:c>
      <x:c r="C379" t="str">
        <x:v>Painting</x:v>
      </x:c>
      <x:c r="D379" t="str">
        <x:v>surface prep</x:v>
      </x:c>
      <x:c r="E379" t="str">
        <x:v>wiping</x:v>
      </x:c>
      <x:c r="F379" t="n">
        <x:v>1</x:v>
      </x:c>
      <x:c r="G379" t="str">
        <x:v>wipe dust from the wall with a tack cloth</x:v>
      </x:c>
      <x:c r="H379" t="str">
        <x:v>tack cloth</x:v>
      </x:c>
      <x:c r="I379" t="str">
        <x:v>painted wall</x:v>
      </x:c>
      <x:c r="J379" t="str">
        <x:v>Vidu 2.0</x:v>
      </x:c>
      <x:c r="K379" t="str">
        <x:v>Metadata-Enriched</x:v>
      </x:c>
      <x:c r="L379" t="str">
        <x:v>Uses clipDescription, clipSummary, toolNames, suppliesNames, processTechniques, safetyEquipment.</x:v>
      </x:c>
      <x:c r="M379" t="str">
        <x:v>Close-up realistic instructional DIY video: wipe dust from the wall with a tack cloth. Show tack cloth working on painted wall. Hands visible, stable camera, no text overlay, neutral shop lighting. clipDescription='wipe dust from the wall with a tack cloth'. clipSummary='one practical repair step'. toolNames='tack cloth'. suppliesNames='painted wall'. processTechnique='wiping'. Safety cue: use normal homeowner precautions and avoid risky shortcuts.</x:v>
      </x:c>
      <x:c r="N379" s="14" t="n">
        <x:v>5</x:v>
      </x:c>
      <x:c r="O379" s="14" t="n">
        <x:v>100635</x:v>
      </x:c>
      <x:c r="P379" t="str">
        <x:v>R-D</x:v>
      </x:c>
      <x:c r="Q379" s="12" t="n">
        <x:v>3.7</x:v>
      </x:c>
      <x:c r="R379" s="12" t="n">
        <x:v>3.49</x:v>
      </x:c>
      <x:c r="S379" s="12" t="n">
        <x:v>3.53</x:v>
      </x:c>
      <x:c r="T379" s="12" t="n">
        <x:v>3.48</x:v>
      </x:c>
      <x:c r="U379" s="12" t="n">
        <x:v>3.92</x:v>
      </x:c>
      <x:c r="V379" s="12" t="n">
        <x:v>3.75</x:v>
      </x:c>
      <x:c r="W379" s="12" t="n">
        <x:f>ROUND((Q379*0.24)+(R379*0.22)+(S379*0.16)+(T379*0.18)+(U379*0.10)+(V379*0.10),2)</x:f>
        <x:v>3.61</x:v>
      </x:c>
      <x:c r="X379" t="str">
        <x:f>IF(W379&gt;=3.55,"Pass","Fail")</x:f>
        <x:v>Pass</x:v>
      </x:c>
      <x:c r="Y379" t="str">
        <x:v>wrong grip on tool</x:v>
      </x:c>
      <x:c r="Z379" t="str">
        <x:v>Rater note: Usable, but I would not show it without review. The tack cloth is recognizable, yet the exact contact point is hard to see when the hand crosses the frame. This reads better as a teaser than as an instructional clip. For this painting example, the main judgment is still whether the viewer can copy the motion.</x:v>
      </x:c>
      <x:c r="AA379" t="str">
        <x:v>Use a reference image for the tack cloth and specify its grip/orientation in plain language.</x:v>
      </x:c>
      <x:c r="AB379" t="str">
        <x:v>Medium</x:v>
      </x:c>
      <x:c r="AC379" t="str"/>
      <x:c r="AD379" t="str">
        <x:v>Planning dataset only; scores are plausible placeholders, not vendor claims.</x:v>
      </x:c>
    </x:row>
    <x:row r="380">
      <x:c r="A380" t="str">
        <x:v>S064-Veo-REF</x:v>
      </x:c>
      <x:c r="B380" t="str">
        <x:v>S064</x:v>
      </x:c>
      <x:c r="C380" t="str">
        <x:v>Painting</x:v>
      </x:c>
      <x:c r="D380" t="str">
        <x:v>priming</x:v>
      </x:c>
      <x:c r="E380" t="str">
        <x:v>rolling</x:v>
      </x:c>
      <x:c r="F380" t="n">
        <x:v>2</x:v>
      </x:c>
      <x:c r="G380" t="str">
        <x:v>roll primer over a patched drywall area</x:v>
      </x:c>
      <x:c r="H380" t="str">
        <x:v>paint roller</x:v>
      </x:c>
      <x:c r="I380" t="str">
        <x:v>primer, drywall patch</x:v>
      </x:c>
      <x:c r="J380" t="str">
        <x:v>Veo 3.1</x:v>
      </x:c>
      <x:c r="K380" t="str">
        <x:v>Reference-Guided</x:v>
      </x:c>
      <x:c r="L380" t="str">
        <x:v>Adds reference-tool/image cue and brand-agnostic visual constraints.</x:v>
      </x:c>
      <x:c r="M380" t="str">
        <x:v>Close-up realistic instructional DIY video: roll primer over a patched drywall area. Show paint roller working on primer, drywall patch. Hands visible, stable camera, no text overlay, neutral shop lighting. Use a generic, brand-agnostic visual reference for the paint roller; preserve the tool shape and scale; the paint roller must remain in contact with primer, drywall patch during the key motion.</x:v>
      </x:c>
      <x:c r="N380" s="14" t="n">
        <x:v>8</x:v>
      </x:c>
      <x:c r="O380" s="14" t="n">
        <x:v>100640</x:v>
      </x:c>
      <x:c r="P380" t="str">
        <x:v>R-B</x:v>
      </x:c>
      <x:c r="Q380" s="12" t="n">
        <x:v>4.13</x:v>
      </x:c>
      <x:c r="R380" s="12" t="n">
        <x:v>4.44</x:v>
      </x:c>
      <x:c r="S380" s="12" t="n">
        <x:v>4.69</x:v>
      </x:c>
      <x:c r="T380" s="12" t="n">
        <x:v>4.52</x:v>
      </x:c>
      <x:c r="U380" s="12" t="n">
        <x:v>3.38</x:v>
      </x:c>
      <x:c r="V380" s="12" t="n">
        <x:v>4.18</x:v>
      </x:c>
      <x:c r="W380" s="12" t="n">
        <x:f>ROUND((Q380*0.24)+(R380*0.22)+(S380*0.16)+(T380*0.18)+(U380*0.10)+(V380*0.10),2)</x:f>
        <x:v>4.29</x:v>
      </x:c>
      <x:c r="X380" t="str">
        <x:f>IF(W380&gt;=3.55,"Pass","Fail")</x:f>
        <x:v>Pass</x:v>
      </x:c>
      <x:c r="Y380" t="str">
        <x:v>endpoint not visible</x:v>
      </x:c>
      <x:c r="Z380" t="str">
        <x:v>Rater note: Good continuity from frame to frame. The paint roller makes visual contact with the workpiece and the motion does not feel invented. The prompt should prioritize hand path over cinematic lighting. For this painting example, the main judgment is still whether the viewer can copy the motion.</x:v>
      </x:c>
      <x:c r="AA380" t="str">
        <x:v>Add a one-sentence end-state requirement: viewer must see the completed rolling result for one full second.</x:v>
      </x:c>
      <x:c r="AB380" t="str">
        <x:v>High</x:v>
      </x:c>
      <x:c r="AC380" t="str"/>
      <x:c r="AD380" t="str">
        <x:v>Mock rater record for experiment design; audit against real video outputs before publication.</x:v>
      </x:c>
    </x:row>
    <x:row r="381">
      <x:c r="A381" t="str">
        <x:v>S064-Sora-REF</x:v>
      </x:c>
      <x:c r="B381" t="str">
        <x:v>S064</x:v>
      </x:c>
      <x:c r="C381" t="str">
        <x:v>Painting</x:v>
      </x:c>
      <x:c r="D381" t="str">
        <x:v>priming</x:v>
      </x:c>
      <x:c r="E381" t="str">
        <x:v>rolling</x:v>
      </x:c>
      <x:c r="F381" t="n">
        <x:v>2</x:v>
      </x:c>
      <x:c r="G381" t="str">
        <x:v>roll primer over a patched drywall area</x:v>
      </x:c>
      <x:c r="H381" t="str">
        <x:v>paint roller</x:v>
      </x:c>
      <x:c r="I381" t="str">
        <x:v>primer, drywall patch</x:v>
      </x:c>
      <x:c r="J381" t="str">
        <x:v>Sora 2 Pro</x:v>
      </x:c>
      <x:c r="K381" t="str">
        <x:v>Reference-Guided</x:v>
      </x:c>
      <x:c r="L381" t="str">
        <x:v>Adds reference-tool/image cue and brand-agnostic visual constraints.</x:v>
      </x:c>
      <x:c r="M381" t="str">
        <x:v>Close-up realistic instructional DIY video: roll primer over a patched drywall area. Show paint roller working on primer, drywall patch. Hands visible, stable camera, no text overlay, neutral shop lighting. Use a generic, brand-agnostic visual reference for the paint roller; preserve the tool shape and scale; the paint roller must remain in contact with primer, drywall patch during the key motion.</x:v>
      </x:c>
      <x:c r="N381" s="14" t="n">
        <x:v>8</x:v>
      </x:c>
      <x:c r="O381" s="14" t="n">
        <x:v>100641</x:v>
      </x:c>
      <x:c r="P381" t="str">
        <x:v>R-C</x:v>
      </x:c>
      <x:c r="Q381" s="12" t="n">
        <x:v>3.83</x:v>
      </x:c>
      <x:c r="R381" s="12" t="n">
        <x:v>4.3</x:v>
      </x:c>
      <x:c r="S381" s="12" t="n">
        <x:v>4.38</x:v>
      </x:c>
      <x:c r="T381" s="12" t="n">
        <x:v>3.97</x:v>
      </x:c>
      <x:c r="U381" s="12" t="n">
        <x:v>4.49</x:v>
      </x:c>
      <x:c r="V381" s="12" t="n">
        <x:v>4.38</x:v>
      </x:c>
      <x:c r="W381" s="12" t="n">
        <x:f>ROUND((Q381*0.24)+(R381*0.22)+(S381*0.16)+(T381*0.18)+(U381*0.10)+(V381*0.10),2)</x:f>
        <x:v>4.17</x:v>
      </x:c>
      <x:c r="X381" t="str">
        <x:f>IF(W381&gt;=3.55,"Pass","Fail")</x:f>
        <x:v>Pass</x:v>
      </x:c>
      <x:c r="Y381" t="str">
        <x:v>none</x:v>
      </x:c>
      <x:c r="Z381" t="str">
        <x:v>QA note: Clear enough for a learner. The workpiece does not wander and the camera stays on the primer, drywall patch; I would still add a freeze or caption after generation. The clip needs a verifier pass before it can enter the training pool. For this painting example, the main judgment is still whether the viewer can copy the motion.</x:v>
      </x:c>
      <x:c r="AA381" t="str">
        <x:v>Add a one-sentence end-state requirement: viewer must see the completed rolling result for one full second.</x:v>
      </x:c>
      <x:c r="AB381" t="str">
        <x:v>High</x:v>
      </x:c>
      <x:c r="AC381" t="str"/>
      <x:c r="AD381" t="str">
        <x:v>Mock rater record for experiment design; audit against real video outputs before publication.</x:v>
      </x:c>
    </x:row>
    <x:row r="382">
      <x:c r="A382" t="str">
        <x:v>S064-Runway-REF</x:v>
      </x:c>
      <x:c r="B382" t="str">
        <x:v>S064</x:v>
      </x:c>
      <x:c r="C382" t="str">
        <x:v>Painting</x:v>
      </x:c>
      <x:c r="D382" t="str">
        <x:v>priming</x:v>
      </x:c>
      <x:c r="E382" t="str">
        <x:v>rolling</x:v>
      </x:c>
      <x:c r="F382" t="n">
        <x:v>2</x:v>
      </x:c>
      <x:c r="G382" t="str">
        <x:v>roll primer over a patched drywall area</x:v>
      </x:c>
      <x:c r="H382" t="str">
        <x:v>paint roller</x:v>
      </x:c>
      <x:c r="I382" t="str">
        <x:v>primer, drywall patch</x:v>
      </x:c>
      <x:c r="J382" t="str">
        <x:v>Runway Gen-4.5</x:v>
      </x:c>
      <x:c r="K382" t="str">
        <x:v>Reference-Guided</x:v>
      </x:c>
      <x:c r="L382" t="str">
        <x:v>Adds reference-tool/image cue and brand-agnostic visual constraints.</x:v>
      </x:c>
      <x:c r="M382" t="str">
        <x:v>Close-up realistic instructional DIY video: roll primer over a patched drywall area. Show paint roller working on primer, drywall patch. Hands visible, stable camera, no text overlay, neutral shop lighting. Use a generic, brand-agnostic visual reference for the paint roller; preserve the tool shape and scale; the paint roller must remain in contact with primer, drywall patch during the key motion.</x:v>
      </x:c>
      <x:c r="N382" s="14" t="n">
        <x:v>5</x:v>
      </x:c>
      <x:c r="O382" s="14" t="n">
        <x:v>100642</x:v>
      </x:c>
      <x:c r="P382" t="str">
        <x:v>R-C</x:v>
      </x:c>
      <x:c r="Q382" s="12" t="n">
        <x:v>4.07</x:v>
      </x:c>
      <x:c r="R382" s="12" t="n">
        <x:v>4.47</x:v>
      </x:c>
      <x:c r="S382" s="12" t="n">
        <x:v>4.32</x:v>
      </x:c>
      <x:c r="T382" s="12" t="n">
        <x:v>4.46</x:v>
      </x:c>
      <x:c r="U382" s="12" t="n">
        <x:v>4.61</x:v>
      </x:c>
      <x:c r="V382" s="12" t="n">
        <x:v>4.12</x:v>
      </x:c>
      <x:c r="W382" s="12" t="n">
        <x:f>ROUND((Q382*0.24)+(R382*0.22)+(S382*0.16)+(T382*0.18)+(U382*0.10)+(V382*0.10),2)</x:f>
        <x:v>4.33</x:v>
      </x:c>
      <x:c r="X382" t="str">
        <x:f>IF(W382&gt;=3.55,"Pass","Fail")</x:f>
        <x:v>Pass</x:v>
      </x:c>
      <x:c r="Y382" t="str">
        <x:v>small hand occlusion</x:v>
      </x:c>
      <x:c r="Z382" t="str">
        <x:v>Review note: Clear enough for a learner. The workpiece does not wander and the camera stays on the primer, drywall patch; I would still add a freeze or caption after generation. The prompt should prioritize hand path over cinematic lighting. For this painting example, the main judgment is still whether the viewer can copy the motion.</x:v>
      </x:c>
      <x:c r="AA382" t="str">
        <x:v>Break the action into start, contact, movement, and finish; ban extra tools and hand morphing.</x:v>
      </x:c>
      <x:c r="AB382" t="str">
        <x:v>High</x:v>
      </x:c>
      <x:c r="AC382" t="str"/>
      <x:c r="AD382" t="str">
        <x:v>Synthetic benchmark entry; generated clip URL should be filled after API run.</x:v>
      </x:c>
    </x:row>
    <x:row r="383">
      <x:c r="A383" t="str">
        <x:v>S064-Kling-REF</x:v>
      </x:c>
      <x:c r="B383" t="str">
        <x:v>S064</x:v>
      </x:c>
      <x:c r="C383" t="str">
        <x:v>Painting</x:v>
      </x:c>
      <x:c r="D383" t="str">
        <x:v>priming</x:v>
      </x:c>
      <x:c r="E383" t="str">
        <x:v>rolling</x:v>
      </x:c>
      <x:c r="F383" t="n">
        <x:v>2</x:v>
      </x:c>
      <x:c r="G383" t="str">
        <x:v>roll primer over a patched drywall area</x:v>
      </x:c>
      <x:c r="H383" t="str">
        <x:v>paint roller</x:v>
      </x:c>
      <x:c r="I383" t="str">
        <x:v>primer, drywall patch</x:v>
      </x:c>
      <x:c r="J383" t="str">
        <x:v>Kling v3.0 (Replicate)</x:v>
      </x:c>
      <x:c r="K383" t="str">
        <x:v>Reference-Guided</x:v>
      </x:c>
      <x:c r="L383" t="str">
        <x:v>Adds reference-tool/image cue and brand-agnostic visual constraints.</x:v>
      </x:c>
      <x:c r="M383" t="str">
        <x:v>Close-up realistic instructional DIY video: roll primer over a patched drywall area. Show paint roller working on primer, drywall patch. Hands visible, stable camera, no text overlay, neutral shop lighting. Use a generic, brand-agnostic visual reference for the paint roller; preserve the tool shape and scale; the paint roller must remain in contact with primer, drywall patch during the key motion.</x:v>
      </x:c>
      <x:c r="N383" s="14" t="n">
        <x:v>10</x:v>
      </x:c>
      <x:c r="O383" s="14" t="n">
        <x:v>100643</x:v>
      </x:c>
      <x:c r="P383" t="str">
        <x:v>R-C</x:v>
      </x:c>
      <x:c r="Q383" s="12" t="n">
        <x:v>4.37</x:v>
      </x:c>
      <x:c r="R383" s="12" t="n">
        <x:v>3.85</x:v>
      </x:c>
      <x:c r="S383" s="12" t="n">
        <x:v>4.33</x:v>
      </x:c>
      <x:c r="T383" s="12" t="n">
        <x:v>4.15</x:v>
      </x:c>
      <x:c r="U383" s="12" t="n">
        <x:v>3.44</x:v>
      </x:c>
      <x:c r="V383" s="12" t="n">
        <x:v>4.16</x:v>
      </x:c>
      <x:c r="W383" s="12" t="n">
        <x:f>ROUND((Q383*0.24)+(R383*0.22)+(S383*0.16)+(T383*0.18)+(U383*0.10)+(V383*0.10),2)</x:f>
        <x:v>4.1</x:v>
      </x:c>
      <x:c r="X383" t="str">
        <x:f>IF(W383&gt;=3.55,"Pass","Fail")</x:f>
        <x:v>Pass</x:v>
      </x:c>
      <x:c r="Y383" t="str">
        <x:v>none</x:v>
      </x:c>
      <x:c r="Z383" t="str">
        <x:v>Review note: Looks plausible at first glance. On a second pass, the primer, drywall patch shifts slightly and the model seems to infer the outcome rather than show the full rolling. On a small preview it might pass, but full-screen review exposes the issue. For this painting example, the main judgment is still whether the viewer can copy the motion.</x:v>
      </x:c>
      <x:c r="AA383" t="str">
        <x:v>Use sequential context only for continuity, not for adding previous/next steps into the frame.</x:v>
      </x:c>
      <x:c r="AB383" t="str">
        <x:v>Medium-High</x:v>
      </x:c>
      <x:c r="AC383" t="str"/>
      <x:c r="AD383" t="str">
        <x:v>Mock rater record for experiment design; audit against real video outputs before publication.</x:v>
      </x:c>
    </x:row>
    <x:row r="384">
      <x:c r="A384" t="str">
        <x:v>S064-Pika-REF</x:v>
      </x:c>
      <x:c r="B384" t="str">
        <x:v>S064</x:v>
      </x:c>
      <x:c r="C384" t="str">
        <x:v>Painting</x:v>
      </x:c>
      <x:c r="D384" t="str">
        <x:v>priming</x:v>
      </x:c>
      <x:c r="E384" t="str">
        <x:v>rolling</x:v>
      </x:c>
      <x:c r="F384" t="n">
        <x:v>2</x:v>
      </x:c>
      <x:c r="G384" t="str">
        <x:v>roll primer over a patched drywall area</x:v>
      </x:c>
      <x:c r="H384" t="str">
        <x:v>paint roller</x:v>
      </x:c>
      <x:c r="I384" t="str">
        <x:v>primer, drywall patch</x:v>
      </x:c>
      <x:c r="J384" t="str">
        <x:v>Pika 2.2</x:v>
      </x:c>
      <x:c r="K384" t="str">
        <x:v>Reference-Guided</x:v>
      </x:c>
      <x:c r="L384" t="str">
        <x:v>Adds reference-tool/image cue and brand-agnostic visual constraints.</x:v>
      </x:c>
      <x:c r="M384" t="str">
        <x:v>Close-up realistic instructional DIY video: roll primer over a patched drywall area. Show paint roller working on primer, drywall patch. Hands visible, stable camera, no text overlay, neutral shop lighting. Use a generic, brand-agnostic visual reference for the paint roller; preserve the tool shape and scale; the paint roller must remain in contact with primer, drywall patch during the key motion.</x:v>
      </x:c>
      <x:c r="N384" s="14" t="n">
        <x:v>5</x:v>
      </x:c>
      <x:c r="O384" s="14" t="n">
        <x:v>100644</x:v>
      </x:c>
      <x:c r="P384" t="str">
        <x:v>R-A</x:v>
      </x:c>
      <x:c r="Q384" s="12" t="n">
        <x:v>3.67</x:v>
      </x:c>
      <x:c r="R384" s="12" t="n">
        <x:v>3.62</x:v>
      </x:c>
      <x:c r="S384" s="12" t="n">
        <x:v>3.48</x:v>
      </x:c>
      <x:c r="T384" s="12" t="n">
        <x:v>3.77</x:v>
      </x:c>
      <x:c r="U384" s="12" t="n">
        <x:v>3.46</x:v>
      </x:c>
      <x:c r="V384" s="12" t="n">
        <x:v>3.94</x:v>
      </x:c>
      <x:c r="W384" s="12" t="n">
        <x:f>ROUND((Q384*0.24)+(R384*0.22)+(S384*0.16)+(T384*0.18)+(U384*0.10)+(V384*0.10),2)</x:f>
        <x:v>3.65</x:v>
      </x:c>
      <x:c r="X384" t="str">
        <x:f>IF(W384&gt;=3.55,"Pass","Fail")</x:f>
        <x:v>Pass</x:v>
      </x:c>
      <x:c r="Y384" t="str">
        <x:v>camera blocks work</x:v>
      </x:c>
      <x:c r="Z384" t="str">
        <x:v>QA note: Usable, but I would not show it without review. The paint roller is recognizable, yet the exact contact point is hard to see when the hand crosses the frame. The issue is subtle visually, but it matters because the clip is supposed to teach the technique. For this painting example, the main judgment is still whether the viewer can copy the motion.</x:v>
      </x:c>
      <x:c r="AA384" t="str">
        <x:v>Use a reference image for the paint roller and specify its grip/orientation in plain language.</x:v>
      </x:c>
      <x:c r="AB384" t="str">
        <x:v>Medium-High</x:v>
      </x:c>
      <x:c r="AC384" t="str"/>
      <x:c r="AD384" t="str">
        <x:v>Planning dataset only; scores are plausible placeholders, not vendor claims.</x:v>
      </x:c>
    </x:row>
    <x:row r="385">
      <x:c r="A385" t="str">
        <x:v>S064-Vidu-REF</x:v>
      </x:c>
      <x:c r="B385" t="str">
        <x:v>S064</x:v>
      </x:c>
      <x:c r="C385" t="str">
        <x:v>Painting</x:v>
      </x:c>
      <x:c r="D385" t="str">
        <x:v>priming</x:v>
      </x:c>
      <x:c r="E385" t="str">
        <x:v>rolling</x:v>
      </x:c>
      <x:c r="F385" t="n">
        <x:v>2</x:v>
      </x:c>
      <x:c r="G385" t="str">
        <x:v>roll primer over a patched drywall area</x:v>
      </x:c>
      <x:c r="H385" t="str">
        <x:v>paint roller</x:v>
      </x:c>
      <x:c r="I385" t="str">
        <x:v>primer, drywall patch</x:v>
      </x:c>
      <x:c r="J385" t="str">
        <x:v>Vidu 2.0</x:v>
      </x:c>
      <x:c r="K385" t="str">
        <x:v>Reference-Guided</x:v>
      </x:c>
      <x:c r="L385" t="str">
        <x:v>Adds reference-tool/image cue and brand-agnostic visual constraints.</x:v>
      </x:c>
      <x:c r="M385" t="str">
        <x:v>Close-up realistic instructional DIY video: roll primer over a patched drywall area. Show paint roller working on primer, drywall patch. Hands visible, stable camera, no text overlay, neutral shop lighting. Use a generic, brand-agnostic visual reference for the paint roller; preserve the tool shape and scale; the paint roller must remain in contact with primer, drywall patch during the key motion.</x:v>
      </x:c>
      <x:c r="N385" s="14" t="n">
        <x:v>5</x:v>
      </x:c>
      <x:c r="O385" s="14" t="n">
        <x:v>100645</x:v>
      </x:c>
      <x:c r="P385" t="str">
        <x:v>R-D</x:v>
      </x:c>
      <x:c r="Q385" s="12" t="n">
        <x:v>3.16</x:v>
      </x:c>
      <x:c r="R385" s="12" t="n">
        <x:v>3.17</x:v>
      </x:c>
      <x:c r="S385" s="12" t="n">
        <x:v>3.55</x:v>
      </x:c>
      <x:c r="T385" s="12" t="n">
        <x:v>3.47</x:v>
      </x:c>
      <x:c r="U385" s="12" t="n">
        <x:v>3.73</x:v>
      </x:c>
      <x:c r="V385" s="12" t="n">
        <x:v>3.31</x:v>
      </x:c>
      <x:c r="W385" s="12" t="n">
        <x:f>ROUND((Q385*0.24)+(R385*0.22)+(S385*0.16)+(T385*0.18)+(U385*0.10)+(V385*0.10),2)</x:f>
        <x:v>3.35</x:v>
      </x:c>
      <x:c r="X385" t="str">
        <x:f>IF(W385&gt;=3.55,"Pass","Fail")</x:f>
        <x:v>Fail</x:v>
      </x:c>
      <x:c r="Y385" t="str">
        <x:v>object morphs</x:v>
      </x:c>
      <x:c r="Z385" t="str">
        <x:v>QA note: A reviewer would likely reject this. It may be visually attractive, but the tool/object relationship breaks during the important moment. I would keep the same camera angle but ask for a tighter view of the contact point. For this painting example, the main judgment is still whether the viewer can copy the motion.</x:v>
      </x:c>
      <x:c r="AA385" t="str">
        <x:v>Add a one-sentence end-state requirement: viewer must see the completed rolling result for one full second.</x:v>
      </x:c>
      <x:c r="AB385" t="str">
        <x:v>Medium</x:v>
      </x:c>
      <x:c r="AC385" t="str"/>
      <x:c r="AD385" t="str">
        <x:v>Mock rater record for experiment design; audit against real video outputs before publication.</x:v>
      </x:c>
    </x:row>
    <x:row r="386">
      <x:c r="A386" t="str">
        <x:v>S065-Veo-SEQ</x:v>
      </x:c>
      <x:c r="B386" t="str">
        <x:v>S065</x:v>
      </x:c>
      <x:c r="C386" t="str">
        <x:v>Painting</x:v>
      </x:c>
      <x:c r="D386" t="str">
        <x:v>cutting in</x:v>
      </x:c>
      <x:c r="E386" t="str">
        <x:v>brushing</x:v>
      </x:c>
      <x:c r="F386" t="n">
        <x:v>3</x:v>
      </x:c>
      <x:c r="G386" t="str">
        <x:v>cut in a clean paint line at the ceiling edge</x:v>
      </x:c>
      <x:c r="H386" t="str">
        <x:v>angled sash brush</x:v>
      </x:c>
      <x:c r="I386" t="str">
        <x:v>ceiling edge, wall paint</x:v>
      </x:c>
      <x:c r="J386" t="str">
        <x:v>Veo 3.1</x:v>
      </x:c>
      <x:c r="K386" t="str">
        <x:v>Sequential Context</x:v>
      </x:c>
      <x:c r="L386" t="str">
        <x:v>Provides previous and next step for continuity without asking for them to appear.</x:v>
      </x:c>
      <x:c r="M386" t="str">
        <x:v>Close-up realistic instructional DIY video: cut in a clean paint line at the ceiling edge. Show angled sash brush working on ceiling edge, wall paint. Hands visible, stable camera, no text overlay, neutral shop lighting. This is the middle clip in a sequence. Previous step has already prepared the work area; next step will verify the result. Keep the same workpiece, camera distance, and hand orientation.</x:v>
      </x:c>
      <x:c r="N386" s="14" t="n">
        <x:v>8</x:v>
      </x:c>
      <x:c r="O386" s="14" t="n">
        <x:v>100650</x:v>
      </x:c>
      <x:c r="P386" t="str">
        <x:v>R-A</x:v>
      </x:c>
      <x:c r="Q386" s="12" t="n">
        <x:v>4.22</x:v>
      </x:c>
      <x:c r="R386" s="12" t="n">
        <x:v>4.66</x:v>
      </x:c>
      <x:c r="S386" s="12" t="n">
        <x:v>3.98</x:v>
      </x:c>
      <x:c r="T386" s="12" t="n">
        <x:v>4.26</x:v>
      </x:c>
      <x:c r="U386" s="12" t="n">
        <x:v>3.75</x:v>
      </x:c>
      <x:c r="V386" s="12" t="n">
        <x:v>4.26</x:v>
      </x:c>
      <x:c r="W386" s="12" t="n">
        <x:f>ROUND((Q386*0.24)+(R386*0.22)+(S386*0.16)+(T386*0.18)+(U386*0.10)+(V386*0.10),2)</x:f>
        <x:v>4.24</x:v>
      </x:c>
      <x:c r="X386" t="str">
        <x:f>IF(W386&gt;=3.55,"Pass","Fail")</x:f>
        <x:v>Pass</x:v>
      </x:c>
      <x:c r="Y386" t="str">
        <x:v>endpoint not visible</x:v>
      </x:c>
      <x:c r="Z386" t="str">
        <x:v>Review note: Best part is the pacing: it gives enough time to understand brushing without turning into a beauty shot. Minor issue: slightly staged tool contact. This would be safer as a reference-aided run than a text-only run. Continuity is useful here, but it cannot replace showing the actual contact point.</x:v>
      </x:c>
      <x:c r="AA386" t="str">
        <x:v>Add a one-sentence end-state requirement: viewer must see the completed brushing result for one full second.</x:v>
      </x:c>
      <x:c r="AB386" t="str">
        <x:v>Medium</x:v>
      </x:c>
      <x:c r="AC386" t="str"/>
      <x:c r="AD386" t="str">
        <x:v>Planning dataset only; scores are plausible placeholders, not vendor claims.</x:v>
      </x:c>
    </x:row>
    <x:row r="387">
      <x:c r="A387" t="str">
        <x:v>S065-Sora-SEQ</x:v>
      </x:c>
      <x:c r="B387" t="str">
        <x:v>S065</x:v>
      </x:c>
      <x:c r="C387" t="str">
        <x:v>Painting</x:v>
      </x:c>
      <x:c r="D387" t="str">
        <x:v>cutting in</x:v>
      </x:c>
      <x:c r="E387" t="str">
        <x:v>brushing</x:v>
      </x:c>
      <x:c r="F387" t="n">
        <x:v>3</x:v>
      </x:c>
      <x:c r="G387" t="str">
        <x:v>cut in a clean paint line at the ceiling edge</x:v>
      </x:c>
      <x:c r="H387" t="str">
        <x:v>angled sash brush</x:v>
      </x:c>
      <x:c r="I387" t="str">
        <x:v>ceiling edge, wall paint</x:v>
      </x:c>
      <x:c r="J387" t="str">
        <x:v>Sora 2 Pro</x:v>
      </x:c>
      <x:c r="K387" t="str">
        <x:v>Sequential Context</x:v>
      </x:c>
      <x:c r="L387" t="str">
        <x:v>Provides previous and next step for continuity without asking for them to appear.</x:v>
      </x:c>
      <x:c r="M387" t="str">
        <x:v>Close-up realistic instructional DIY video: cut in a clean paint line at the ceiling edge. Show angled sash brush working on ceiling edge, wall paint. Hands visible, stable camera, no text overlay, neutral shop lighting. This is the middle clip in a sequence. Previous step has already prepared the work area; next step will verify the result. Keep the same workpiece, camera distance, and hand orientation.</x:v>
      </x:c>
      <x:c r="N387" s="14" t="n">
        <x:v>8</x:v>
      </x:c>
      <x:c r="O387" s="14" t="n">
        <x:v>100651</x:v>
      </x:c>
      <x:c r="P387" t="str">
        <x:v>R-B</x:v>
      </x:c>
      <x:c r="Q387" s="12" t="n">
        <x:v>4.3</x:v>
      </x:c>
      <x:c r="R387" s="12" t="n">
        <x:v>3.92</x:v>
      </x:c>
      <x:c r="S387" s="12" t="n">
        <x:v>4.74</x:v>
      </x:c>
      <x:c r="T387" s="12" t="n">
        <x:v>4.02</x:v>
      </x:c>
      <x:c r="U387" s="12" t="n">
        <x:v>3.72</x:v>
      </x:c>
      <x:c r="V387" s="12" t="n">
        <x:v>4.37</x:v>
      </x:c>
      <x:c r="W387" s="12" t="n">
        <x:f>ROUND((Q387*0.24)+(R387*0.22)+(S387*0.16)+(T387*0.18)+(U387*0.10)+(V387*0.10),2)</x:f>
        <x:v>4.19</x:v>
      </x:c>
      <x:c r="X387" t="str">
        <x:f>IF(W387&gt;=3.55,"Pass","Fail")</x:f>
        <x:v>Pass</x:v>
      </x:c>
      <x:c r="Y387" t="str">
        <x:v>tool pose a little soft</x:v>
      </x:c>
      <x:c r="Z387" t="str">
        <x:v>Human check: Clear enough for a learner. The workpiece does not wander and the camera stays on the ceiling edge, wall paint; I would still add a freeze or caption after generation. On a small preview it might pass, but full-screen review exposes the issue. Continuity is useful here, but it cannot replace showing the actual contact point.</x:v>
      </x:c>
      <x:c r="AA387" t="str">
        <x:v>Use sequential context only for continuity, not for adding previous/next steps into the frame.</x:v>
      </x:c>
      <x:c r="AB387" t="str">
        <x:v>Medium</x:v>
      </x:c>
      <x:c r="AC387" t="str"/>
      <x:c r="AD387" t="str">
        <x:v>Synthetic benchmark entry; generated clip URL should be filled after API run.</x:v>
      </x:c>
    </x:row>
    <x:row r="388">
      <x:c r="A388" t="str">
        <x:v>S065-Runway-SEQ</x:v>
      </x:c>
      <x:c r="B388" t="str">
        <x:v>S065</x:v>
      </x:c>
      <x:c r="C388" t="str">
        <x:v>Painting</x:v>
      </x:c>
      <x:c r="D388" t="str">
        <x:v>cutting in</x:v>
      </x:c>
      <x:c r="E388" t="str">
        <x:v>brushing</x:v>
      </x:c>
      <x:c r="F388" t="n">
        <x:v>3</x:v>
      </x:c>
      <x:c r="G388" t="str">
        <x:v>cut in a clean paint line at the ceiling edge</x:v>
      </x:c>
      <x:c r="H388" t="str">
        <x:v>angled sash brush</x:v>
      </x:c>
      <x:c r="I388" t="str">
        <x:v>ceiling edge, wall paint</x:v>
      </x:c>
      <x:c r="J388" t="str">
        <x:v>Runway Gen-4.5</x:v>
      </x:c>
      <x:c r="K388" t="str">
        <x:v>Sequential Context</x:v>
      </x:c>
      <x:c r="L388" t="str">
        <x:v>Provides previous and next step for continuity without asking for them to appear.</x:v>
      </x:c>
      <x:c r="M388" t="str">
        <x:v>Close-up realistic instructional DIY video: cut in a clean paint line at the ceiling edge. Show angled sash brush working on ceiling edge, wall paint. Hands visible, stable camera, no text overlay, neutral shop lighting. This is the middle clip in a sequence. Previous step has already prepared the work area; next step will verify the result. Keep the same workpiece, camera distance, and hand orientation.</x:v>
      </x:c>
      <x:c r="N388" s="14" t="n">
        <x:v>5</x:v>
      </x:c>
      <x:c r="O388" s="14" t="n">
        <x:v>100652</x:v>
      </x:c>
      <x:c r="P388" t="str">
        <x:v>R-A</x:v>
      </x:c>
      <x:c r="Q388" s="12" t="n">
        <x:v>3.71</x:v>
      </x:c>
      <x:c r="R388" s="12" t="n">
        <x:v>3.58</x:v>
      </x:c>
      <x:c r="S388" s="12" t="n">
        <x:v>3.75</x:v>
      </x:c>
      <x:c r="T388" s="12" t="n">
        <x:v>3.76</x:v>
      </x:c>
      <x:c r="U388" s="12" t="n">
        <x:v>3.15</x:v>
      </x:c>
      <x:c r="V388" s="12" t="n">
        <x:v>4.05</x:v>
      </x:c>
      <x:c r="W388" s="12" t="n">
        <x:f>ROUND((Q388*0.24)+(R388*0.22)+(S388*0.16)+(T388*0.18)+(U388*0.10)+(V388*0.10),2)</x:f>
        <x:v>3.67</x:v>
      </x:c>
      <x:c r="X388" t="str">
        <x:f>IF(W388&gt;=3.55,"Pass","Fail")</x:f>
        <x:v>Pass</x:v>
      </x:c>
      <x:c r="Y388" t="str">
        <x:v>force/torque reads wrong</x:v>
      </x:c>
      <x:c r="Z388" t="str">
        <x:v>Rater note: Looks plausible at first glance. On a second pass, the ceiling edge, wall paint shifts slightly and the model seems to infer the outcome rather than show the full brushing. I would keep the same camera angle but ask for a tighter view of the contact point. Continuity is useful here, but it cannot replace showing the actual contact point.</x:v>
      </x:c>
      <x:c r="AA388" t="str">
        <x:v>Break the action into start, contact, movement, and finish; ban extra tools and hand morphing.</x:v>
      </x:c>
      <x:c r="AB388" t="str">
        <x:v>Medium</x:v>
      </x:c>
      <x:c r="AC388" t="str"/>
      <x:c r="AD388" t="str">
        <x:v>Planning dataset only; scores are plausible placeholders, not vendor claims.</x:v>
      </x:c>
    </x:row>
    <x:row r="389">
      <x:c r="A389" t="str">
        <x:v>S065-Kling-SEQ</x:v>
      </x:c>
      <x:c r="B389" t="str">
        <x:v>S065</x:v>
      </x:c>
      <x:c r="C389" t="str">
        <x:v>Painting</x:v>
      </x:c>
      <x:c r="D389" t="str">
        <x:v>cutting in</x:v>
      </x:c>
      <x:c r="E389" t="str">
        <x:v>brushing</x:v>
      </x:c>
      <x:c r="F389" t="n">
        <x:v>3</x:v>
      </x:c>
      <x:c r="G389" t="str">
        <x:v>cut in a clean paint line at the ceiling edge</x:v>
      </x:c>
      <x:c r="H389" t="str">
        <x:v>angled sash brush</x:v>
      </x:c>
      <x:c r="I389" t="str">
        <x:v>ceiling edge, wall paint</x:v>
      </x:c>
      <x:c r="J389" t="str">
        <x:v>Kling v3.0 (Replicate)</x:v>
      </x:c>
      <x:c r="K389" t="str">
        <x:v>Sequential Context</x:v>
      </x:c>
      <x:c r="L389" t="str">
        <x:v>Provides previous and next step for continuity without asking for them to appear.</x:v>
      </x:c>
      <x:c r="M389" t="str">
        <x:v>Close-up realistic instructional DIY video: cut in a clean paint line at the ceiling edge. Show angled sash brush working on ceiling edge, wall paint. Hands visible, stable camera, no text overlay, neutral shop lighting. This is the middle clip in a sequence. Previous step has already prepared the work area; next step will verify the result. Keep the same workpiece, camera distance, and hand orientation.</x:v>
      </x:c>
      <x:c r="N389" s="14" t="n">
        <x:v>10</x:v>
      </x:c>
      <x:c r="O389" s="14" t="n">
        <x:v>100653</x:v>
      </x:c>
      <x:c r="P389" t="str">
        <x:v>R-C</x:v>
      </x:c>
      <x:c r="Q389" s="12" t="n">
        <x:v>3.92</x:v>
      </x:c>
      <x:c r="R389" s="12" t="n">
        <x:v>4.12</x:v>
      </x:c>
      <x:c r="S389" s="12" t="n">
        <x:v>3.81</x:v>
      </x:c>
      <x:c r="T389" s="12" t="n">
        <x:v>3.39</x:v>
      </x:c>
      <x:c r="U389" s="12" t="n">
        <x:v>4.21</x:v>
      </x:c>
      <x:c r="V389" s="12" t="n">
        <x:v>3.91</x:v>
      </x:c>
      <x:c r="W389" s="12" t="n">
        <x:f>ROUND((Q389*0.24)+(R389*0.22)+(S389*0.16)+(T389*0.18)+(U389*0.10)+(V389*0.10),2)</x:f>
        <x:v>3.88</x:v>
      </x:c>
      <x:c r="X389" t="str">
        <x:f>IF(W389&gt;=3.55,"Pass","Fail")</x:f>
        <x:v>Pass</x:v>
      </x:c>
      <x:c r="Y389" t="str">
        <x:v>motion slightly compressed</x:v>
      </x:c>
      <x:c r="Z389" t="str">
        <x:v>QA note: Looks plausible at first glance. On a second pass, the ceiling edge, wall paint shifts slightly and the model seems to infer the outcome rather than show the full brushing. This reads better as a teaser than as an instructional clip. Continuity is useful here, but it cannot replace showing the actual contact point.</x:v>
      </x:c>
      <x:c r="AA389" t="str">
        <x:v>Specify the exact contact point and do not allow the hand to cover it.</x:v>
      </x:c>
      <x:c r="AB389" t="str">
        <x:v>High</x:v>
      </x:c>
      <x:c r="AC389" t="str"/>
      <x:c r="AD389" t="str">
        <x:v>Planning dataset only; scores are plausible placeholders, not vendor claims.</x:v>
      </x:c>
    </x:row>
    <x:row r="390">
      <x:c r="A390" t="str">
        <x:v>S065-Pika-SEQ</x:v>
      </x:c>
      <x:c r="B390" t="str">
        <x:v>S065</x:v>
      </x:c>
      <x:c r="C390" t="str">
        <x:v>Painting</x:v>
      </x:c>
      <x:c r="D390" t="str">
        <x:v>cutting in</x:v>
      </x:c>
      <x:c r="E390" t="str">
        <x:v>brushing</x:v>
      </x:c>
      <x:c r="F390" t="n">
        <x:v>3</x:v>
      </x:c>
      <x:c r="G390" t="str">
        <x:v>cut in a clean paint line at the ceiling edge</x:v>
      </x:c>
      <x:c r="H390" t="str">
        <x:v>angled sash brush</x:v>
      </x:c>
      <x:c r="I390" t="str">
        <x:v>ceiling edge, wall paint</x:v>
      </x:c>
      <x:c r="J390" t="str">
        <x:v>Pika 2.2</x:v>
      </x:c>
      <x:c r="K390" t="str">
        <x:v>Sequential Context</x:v>
      </x:c>
      <x:c r="L390" t="str">
        <x:v>Provides previous and next step for continuity without asking for them to appear.</x:v>
      </x:c>
      <x:c r="M390" t="str">
        <x:v>Close-up realistic instructional DIY video: cut in a clean paint line at the ceiling edge. Show angled sash brush working on ceiling edge, wall paint. Hands visible, stable camera, no text overlay, neutral shop lighting. This is the middle clip in a sequence. Previous step has already prepared the work area; next step will verify the result. Keep the same workpiece, camera distance, and hand orientation.</x:v>
      </x:c>
      <x:c r="N390" s="14" t="n">
        <x:v>5</x:v>
      </x:c>
      <x:c r="O390" s="14" t="n">
        <x:v>100654</x:v>
      </x:c>
      <x:c r="P390" t="str">
        <x:v>R-B</x:v>
      </x:c>
      <x:c r="Q390" s="12" t="n">
        <x:v>3.25</x:v>
      </x:c>
      <x:c r="R390" s="12" t="n">
        <x:v>4.09</x:v>
      </x:c>
      <x:c r="S390" s="12" t="n">
        <x:v>3.63</x:v>
      </x:c>
      <x:c r="T390" s="12" t="n">
        <x:v>3.33</x:v>
      </x:c>
      <x:c r="U390" s="12" t="n">
        <x:v>3.78</x:v>
      </x:c>
      <x:c r="V390" s="12" t="n">
        <x:v>4.07</x:v>
      </x:c>
      <x:c r="W390" s="12" t="n">
        <x:f>ROUND((Q390*0.24)+(R390*0.22)+(S390*0.16)+(T390*0.18)+(U390*0.10)+(V390*0.10),2)</x:f>
        <x:v>3.65</x:v>
      </x:c>
      <x:c r="X390" t="str">
        <x:f>IF(W390&gt;=3.55,"Pass","Fail")</x:f>
        <x:v>Pass</x:v>
      </x:c>
      <x:c r="Y390" t="str">
        <x:v>object morphs</x:v>
      </x:c>
      <x:c r="Z390" t="str">
        <x:v>Human check: Looks plausible at first glance. On a second pass, the ceiling edge, wall paint shifts slightly and the model seems to infer the outcome rather than show the full brushing. I marked it down for the key moment rather than the opening setup. Continuity is useful here, but it cannot replace showing the actual contact point.</x:v>
      </x:c>
      <x:c r="AA390" t="str">
        <x:v>Break the action into start, contact, movement, and finish; ban extra tools and hand morphing.</x:v>
      </x:c>
      <x:c r="AB390" t="str">
        <x:v>Medium</x:v>
      </x:c>
      <x:c r="AC390" t="str"/>
      <x:c r="AD390" t="str">
        <x:v>Simulated pilot row for planning; replace with blinded ratings after generating actual clips.</x:v>
      </x:c>
    </x:row>
    <x:row r="391">
      <x:c r="A391" t="str">
        <x:v>S065-Vidu-SEQ</x:v>
      </x:c>
      <x:c r="B391" t="str">
        <x:v>S065</x:v>
      </x:c>
      <x:c r="C391" t="str">
        <x:v>Painting</x:v>
      </x:c>
      <x:c r="D391" t="str">
        <x:v>cutting in</x:v>
      </x:c>
      <x:c r="E391" t="str">
        <x:v>brushing</x:v>
      </x:c>
      <x:c r="F391" t="n">
        <x:v>3</x:v>
      </x:c>
      <x:c r="G391" t="str">
        <x:v>cut in a clean paint line at the ceiling edge</x:v>
      </x:c>
      <x:c r="H391" t="str">
        <x:v>angled sash brush</x:v>
      </x:c>
      <x:c r="I391" t="str">
        <x:v>ceiling edge, wall paint</x:v>
      </x:c>
      <x:c r="J391" t="str">
        <x:v>Vidu 2.0</x:v>
      </x:c>
      <x:c r="K391" t="str">
        <x:v>Sequential Context</x:v>
      </x:c>
      <x:c r="L391" t="str">
        <x:v>Provides previous and next step for continuity without asking for them to appear.</x:v>
      </x:c>
      <x:c r="M391" t="str">
        <x:v>Close-up realistic instructional DIY video: cut in a clean paint line at the ceiling edge. Show angled sash brush working on ceiling edge, wall paint. Hands visible, stable camera, no text overlay, neutral shop lighting. This is the middle clip in a sequence. Previous step has already prepared the work area; next step will verify the result. Keep the same workpiece, camera distance, and hand orientation.</x:v>
      </x:c>
      <x:c r="N391" s="14" t="n">
        <x:v>5</x:v>
      </x:c>
      <x:c r="O391" s="14" t="n">
        <x:v>100655</x:v>
      </x:c>
      <x:c r="P391" t="str">
        <x:v>R-A</x:v>
      </x:c>
      <x:c r="Q391" s="12" t="n">
        <x:v>2.16</x:v>
      </x:c>
      <x:c r="R391" s="12" t="n">
        <x:v>3.55</x:v>
      </x:c>
      <x:c r="S391" s="12" t="n">
        <x:v>3.49</x:v>
      </x:c>
      <x:c r="T391" s="12" t="n">
        <x:v>3.44</x:v>
      </x:c>
      <x:c r="U391" s="12" t="n">
        <x:v>3.25</x:v>
      </x:c>
      <x:c r="V391" s="12" t="n">
        <x:v>3.25</x:v>
      </x:c>
      <x:c r="W391" s="12" t="n">
        <x:f>ROUND((Q391*0.24)+(R391*0.22)+(S391*0.16)+(T391*0.18)+(U391*0.10)+(V391*0.10),2)</x:f>
        <x:v>3.13</x:v>
      </x:c>
      <x:c r="X391" t="str">
        <x:f>IF(W391&gt;=3.55,"Pass","Fail")</x:f>
        <x:v>Fail</x:v>
      </x:c>
      <x:c r="Y391" t="str">
        <x:v>object morphs</x:v>
      </x:c>
      <x:c r="Z391" t="str">
        <x:v>Rater note: Too much is being implied. The angled sash brush and ceiling edge, wall paint are in the scene, but the motion does not demonstrate the actual repair step. On a small preview it might pass, but full-screen review exposes the issue. Continuity is useful here, but it cannot replace showing the actual contact point.</x:v>
      </x:c>
      <x:c r="AA391" t="str">
        <x:v>Break the action into start, contact, movement, and finish; ban extra tools and hand morphing.</x:v>
      </x:c>
      <x:c r="AB391" t="str">
        <x:v>Medium</x:v>
      </x:c>
      <x:c r="AC391" t="str"/>
      <x:c r="AD391" t="str">
        <x:v>Planning dataset only; scores are plausible placeholders, not vendor claims.</x:v>
      </x:c>
    </x:row>
    <x:row r="392">
      <x:c r="A392" t="str">
        <x:v>S066-Veo-CON</x:v>
      </x:c>
      <x:c r="B392" t="str">
        <x:v>S066</x:v>
      </x:c>
      <x:c r="C392" t="str">
        <x:v>Painting</x:v>
      </x:c>
      <x:c r="D392" t="str">
        <x:v>rolling</x:v>
      </x:c>
      <x:c r="E392" t="str">
        <x:v>rolling</x:v>
      </x:c>
      <x:c r="F392" t="n">
        <x:v>2</x:v>
      </x:c>
      <x:c r="G392" t="str">
        <x:v>roll paint in overlapping W strokes on a wall</x:v>
      </x:c>
      <x:c r="H392" t="str">
        <x:v>paint roller</x:v>
      </x:c>
      <x:c r="I392" t="str">
        <x:v>wall section, latex paint</x:v>
      </x:c>
      <x:c r="J392" t="str">
        <x:v>Veo 3.1</x:v>
      </x:c>
      <x:c r="K392" t="str">
        <x:v>Constraint-Rich Negative Prompt</x:v>
      </x:c>
      <x:c r="L392" t="str">
        <x:v>Adds concise no-floating-tools/no-extra-objects/no-morphing constraints.</x:v>
      </x:c>
      <x:c r="M392" t="str">
        <x:v>Close-up realistic instructional DIY video: roll paint in overlapping W strokes on a wall. Show paint roller working on wall section, latex paint. Hands visible, stable camera, no text overlay, neutral shop lighting. Constraints: no floating tools, no extra tools, no morphing hands, no reversed motion, no impossible deformation, no dramatic camera spin. Keep the full action legible.</x:v>
      </x:c>
      <x:c r="N392" s="14" t="n">
        <x:v>8</x:v>
      </x:c>
      <x:c r="O392" s="14" t="n">
        <x:v>100660</x:v>
      </x:c>
      <x:c r="P392" t="str">
        <x:v>R-C</x:v>
      </x:c>
      <x:c r="Q392" s="12" t="n">
        <x:v>4.55</x:v>
      </x:c>
      <x:c r="R392" s="12" t="n">
        <x:v>4.76</x:v>
      </x:c>
      <x:c r="S392" s="12" t="n">
        <x:v>5</x:v>
      </x:c>
      <x:c r="T392" s="12" t="n">
        <x:v>3.99</x:v>
      </x:c>
      <x:c r="U392" s="12" t="n">
        <x:v>4.7</x:v>
      </x:c>
      <x:c r="V392" s="12" t="n">
        <x:v>4.5</x:v>
      </x:c>
      <x:c r="W392" s="12" t="n">
        <x:f>ROUND((Q392*0.24)+(R392*0.22)+(S392*0.16)+(T392*0.18)+(U392*0.10)+(V392*0.10),2)</x:f>
        <x:v>4.58</x:v>
      </x:c>
      <x:c r="X392" t="str">
        <x:f>IF(W392&gt;=3.55,"Pass","Fail")</x:f>
        <x:v>Pass</x:v>
      </x:c>
      <x:c r="Y392" t="str">
        <x:v>none</x:v>
      </x:c>
      <x:c r="Z392" t="str">
        <x:v>Clip review: This one would probably pass a quick review. The paint roller stays believable, the start and end states are easy to read, and the only nit is that slightly staged tool contact. This reads better as a teaser than as an instructional clip. The negative constraints help, but they do not fully solve the mechanics.</x:v>
      </x:c>
      <x:c r="AA392" t="str">
        <x:v>No immediate re-run; keep as candidate and verify with a second rater.</x:v>
      </x:c>
      <x:c r="AB392" t="str">
        <x:v>High</x:v>
      </x:c>
      <x:c r="AC392" t="str"/>
      <x:c r="AD392" t="str">
        <x:v>Mock rater record for experiment design; audit against real video outputs before publication.</x:v>
      </x:c>
    </x:row>
    <x:row r="393">
      <x:c r="A393" t="str">
        <x:v>S066-Sora-CON</x:v>
      </x:c>
      <x:c r="B393" t="str">
        <x:v>S066</x:v>
      </x:c>
      <x:c r="C393" t="str">
        <x:v>Painting</x:v>
      </x:c>
      <x:c r="D393" t="str">
        <x:v>rolling</x:v>
      </x:c>
      <x:c r="E393" t="str">
        <x:v>rolling</x:v>
      </x:c>
      <x:c r="F393" t="n">
        <x:v>2</x:v>
      </x:c>
      <x:c r="G393" t="str">
        <x:v>roll paint in overlapping W strokes on a wall</x:v>
      </x:c>
      <x:c r="H393" t="str">
        <x:v>paint roller</x:v>
      </x:c>
      <x:c r="I393" t="str">
        <x:v>wall section, latex paint</x:v>
      </x:c>
      <x:c r="J393" t="str">
        <x:v>Sora 2 Pro</x:v>
      </x:c>
      <x:c r="K393" t="str">
        <x:v>Constraint-Rich Negative Prompt</x:v>
      </x:c>
      <x:c r="L393" t="str">
        <x:v>Adds concise no-floating-tools/no-extra-objects/no-morphing constraints.</x:v>
      </x:c>
      <x:c r="M393" t="str">
        <x:v>Close-up realistic instructional DIY video: roll paint in overlapping W strokes on a wall. Show paint roller working on wall section, latex paint. Hands visible, stable camera, no text overlay, neutral shop lighting. Constraints: no floating tools, no extra tools, no morphing hands, no reversed motion, no impossible deformation, no dramatic camera spin. Keep the full action legible.</x:v>
      </x:c>
      <x:c r="N393" s="14" t="n">
        <x:v>8</x:v>
      </x:c>
      <x:c r="O393" s="14" t="n">
        <x:v>100661</x:v>
      </x:c>
      <x:c r="P393" t="str">
        <x:v>R-D</x:v>
      </x:c>
      <x:c r="Q393" s="12" t="n">
        <x:v>4.6</x:v>
      </x:c>
      <x:c r="R393" s="12" t="n">
        <x:v>4.5</x:v>
      </x:c>
      <x:c r="S393" s="12" t="n">
        <x:v>4.34</x:v>
      </x:c>
      <x:c r="T393" s="12" t="n">
        <x:v>4.48</x:v>
      </x:c>
      <x:c r="U393" s="12" t="n">
        <x:v>4.2</x:v>
      </x:c>
      <x:c r="V393" s="12" t="n">
        <x:v>4.21</x:v>
      </x:c>
      <x:c r="W393" s="12" t="n">
        <x:f>ROUND((Q393*0.24)+(R393*0.22)+(S393*0.16)+(T393*0.18)+(U393*0.10)+(V393*0.10),2)</x:f>
        <x:v>4.44</x:v>
      </x:c>
      <x:c r="X393" t="str">
        <x:f>IF(W393&gt;=3.55,"Pass","Fail")</x:f>
        <x:v>Pass</x:v>
      </x:c>
      <x:c r="Y393" t="str">
        <x:v>none</x:v>
      </x:c>
      <x:c r="Z393" t="str">
        <x:v>Rater note: The clip feels like a usable shop-demo take. I can see the hand position and the wall section, latex paint; it just needs a slightly longer hold on the final state. On a small preview it might pass, but full-screen review exposes the issue. The negative constraints help, but they do not fully solve the mechanics.</x:v>
      </x:c>
      <x:c r="AA393" t="str">
        <x:v>No immediate re-run; keep as candidate and verify with a second rater.</x:v>
      </x:c>
      <x:c r="AB393" t="str">
        <x:v>High</x:v>
      </x:c>
      <x:c r="AC393" t="str"/>
      <x:c r="AD393" t="str">
        <x:v>Mock rater record for experiment design; audit against real video outputs before publication.</x:v>
      </x:c>
    </x:row>
    <x:row r="394">
      <x:c r="A394" t="str">
        <x:v>S066-Runway-CON</x:v>
      </x:c>
      <x:c r="B394" t="str">
        <x:v>S066</x:v>
      </x:c>
      <x:c r="C394" t="str">
        <x:v>Painting</x:v>
      </x:c>
      <x:c r="D394" t="str">
        <x:v>rolling</x:v>
      </x:c>
      <x:c r="E394" t="str">
        <x:v>rolling</x:v>
      </x:c>
      <x:c r="F394" t="n">
        <x:v>2</x:v>
      </x:c>
      <x:c r="G394" t="str">
        <x:v>roll paint in overlapping W strokes on a wall</x:v>
      </x:c>
      <x:c r="H394" t="str">
        <x:v>paint roller</x:v>
      </x:c>
      <x:c r="I394" t="str">
        <x:v>wall section, latex paint</x:v>
      </x:c>
      <x:c r="J394" t="str">
        <x:v>Runway Gen-4.5</x:v>
      </x:c>
      <x:c r="K394" t="str">
        <x:v>Constraint-Rich Negative Prompt</x:v>
      </x:c>
      <x:c r="L394" t="str">
        <x:v>Adds concise no-floating-tools/no-extra-objects/no-morphing constraints.</x:v>
      </x:c>
      <x:c r="M394" t="str">
        <x:v>Close-up realistic instructional DIY video: roll paint in overlapping W strokes on a wall. Show paint roller working on wall section, latex paint. Hands visible, stable camera, no text overlay, neutral shop lighting. Constraints: no floating tools, no extra tools, no morphing hands, no reversed motion, no impossible deformation, no dramatic camera spin. Keep the full action legible.</x:v>
      </x:c>
      <x:c r="N394" s="14" t="n">
        <x:v>5</x:v>
      </x:c>
      <x:c r="O394" s="14" t="n">
        <x:v>100662</x:v>
      </x:c>
      <x:c r="P394" t="str">
        <x:v>R-A</x:v>
      </x:c>
      <x:c r="Q394" s="12" t="n">
        <x:v>4.36</x:v>
      </x:c>
      <x:c r="R394" s="12" t="n">
        <x:v>3.68</x:v>
      </x:c>
      <x:c r="S394" s="12" t="n">
        <x:v>3.99</x:v>
      </x:c>
      <x:c r="T394" s="12" t="n">
        <x:v>4.03</x:v>
      </x:c>
      <x:c r="U394" s="12" t="n">
        <x:v>3.9</x:v>
      </x:c>
      <x:c r="V394" s="12" t="n">
        <x:v>4.43</x:v>
      </x:c>
      <x:c r="W394" s="12" t="n">
        <x:f>ROUND((Q394*0.24)+(R394*0.22)+(S394*0.16)+(T394*0.18)+(U394*0.10)+(V394*0.10),2)</x:f>
        <x:v>4.05</x:v>
      </x:c>
      <x:c r="X394" t="str">
        <x:f>IF(W394&gt;=3.55,"Pass","Fail")</x:f>
        <x:v>Pass</x:v>
      </x:c>
      <x:c r="Y394" t="str">
        <x:v>minor continuity jump</x:v>
      </x:c>
      <x:c r="Z394" t="str">
        <x:v>QA note: Looks plausible at first glance. On a second pass, the wall section, latex paint shifts slightly and the model seems to infer the outcome rather than show the full rolling. This would be safer as a reference-aided run than a text-only run. The negative constraints help, but they do not fully solve the mechanics.</x:v>
      </x:c>
      <x:c r="AA394" t="str">
        <x:v>Use sequential context only for continuity, not for adding previous/next steps into the frame.</x:v>
      </x:c>
      <x:c r="AB394" t="str">
        <x:v>High</x:v>
      </x:c>
      <x:c r="AC394" t="str"/>
      <x:c r="AD394" t="str">
        <x:v>Planning dataset only; scores are plausible placeholders, not vendor claims.</x:v>
      </x:c>
    </x:row>
    <x:row r="395">
      <x:c r="A395" t="str">
        <x:v>S066-Kling-CON</x:v>
      </x:c>
      <x:c r="B395" t="str">
        <x:v>S066</x:v>
      </x:c>
      <x:c r="C395" t="str">
        <x:v>Painting</x:v>
      </x:c>
      <x:c r="D395" t="str">
        <x:v>rolling</x:v>
      </x:c>
      <x:c r="E395" t="str">
        <x:v>rolling</x:v>
      </x:c>
      <x:c r="F395" t="n">
        <x:v>2</x:v>
      </x:c>
      <x:c r="G395" t="str">
        <x:v>roll paint in overlapping W strokes on a wall</x:v>
      </x:c>
      <x:c r="H395" t="str">
        <x:v>paint roller</x:v>
      </x:c>
      <x:c r="I395" t="str">
        <x:v>wall section, latex paint</x:v>
      </x:c>
      <x:c r="J395" t="str">
        <x:v>Kling v3.0 (Replicate)</x:v>
      </x:c>
      <x:c r="K395" t="str">
        <x:v>Constraint-Rich Negative Prompt</x:v>
      </x:c>
      <x:c r="L395" t="str">
        <x:v>Adds concise no-floating-tools/no-extra-objects/no-morphing constraints.</x:v>
      </x:c>
      <x:c r="M395" t="str">
        <x:v>Close-up realistic instructional DIY video: roll paint in overlapping W strokes on a wall. Show paint roller working on wall section, latex paint. Hands visible, stable camera, no text overlay, neutral shop lighting. Constraints: no floating tools, no extra tools, no morphing hands, no reversed motion, no impossible deformation, no dramatic camera spin. Keep the full action legible.</x:v>
      </x:c>
      <x:c r="N395" s="14" t="n">
        <x:v>10</x:v>
      </x:c>
      <x:c r="O395" s="14" t="n">
        <x:v>100663</x:v>
      </x:c>
      <x:c r="P395" t="str">
        <x:v>R-C</x:v>
      </x:c>
      <x:c r="Q395" s="12" t="n">
        <x:v>4.37</x:v>
      </x:c>
      <x:c r="R395" s="12" t="n">
        <x:v>4.34</x:v>
      </x:c>
      <x:c r="S395" s="12" t="n">
        <x:v>3.7</x:v>
      </x:c>
      <x:c r="T395" s="12" t="n">
        <x:v>4.29</x:v>
      </x:c>
      <x:c r="U395" s="12" t="n">
        <x:v>4.42</x:v>
      </x:c>
      <x:c r="V395" s="12" t="n">
        <x:v>4.35</x:v>
      </x:c>
      <x:c r="W395" s="12" t="n">
        <x:f>ROUND((Q395*0.24)+(R395*0.22)+(S395*0.16)+(T395*0.18)+(U395*0.10)+(V395*0.10),2)</x:f>
        <x:v>4.24</x:v>
      </x:c>
      <x:c r="X395" t="str">
        <x:f>IF(W395&gt;=3.55,"Pass","Fail")</x:f>
        <x:v>Pass</x:v>
      </x:c>
      <x:c r="Y395" t="str">
        <x:v>motion slightly compressed</x:v>
      </x:c>
      <x:c r="Z395" t="str">
        <x:v>Clip review: The clip feels like a usable shop-demo take. I can see the hand position and the wall section, latex paint; it just needs a slightly longer hold on the final state. The prompt should prioritize hand path over cinematic lighting. The negative constraints help, but they do not fully solve the mechanics.</x:v>
      </x:c>
      <x:c r="AA395" t="str">
        <x:v>Use sequential context only for continuity, not for adding previous/next steps into the frame.</x:v>
      </x:c>
      <x:c r="AB395" t="str">
        <x:v>Medium</x:v>
      </x:c>
      <x:c r="AC395" t="str"/>
      <x:c r="AD395" t="str">
        <x:v>Simulated pilot row for planning; replace with blinded ratings after generating actual clips.</x:v>
      </x:c>
    </x:row>
    <x:row r="396">
      <x:c r="A396" t="str">
        <x:v>S066-Pika-CON</x:v>
      </x:c>
      <x:c r="B396" t="str">
        <x:v>S066</x:v>
      </x:c>
      <x:c r="C396" t="str">
        <x:v>Painting</x:v>
      </x:c>
      <x:c r="D396" t="str">
        <x:v>rolling</x:v>
      </x:c>
      <x:c r="E396" t="str">
        <x:v>rolling</x:v>
      </x:c>
      <x:c r="F396" t="n">
        <x:v>2</x:v>
      </x:c>
      <x:c r="G396" t="str">
        <x:v>roll paint in overlapping W strokes on a wall</x:v>
      </x:c>
      <x:c r="H396" t="str">
        <x:v>paint roller</x:v>
      </x:c>
      <x:c r="I396" t="str">
        <x:v>wall section, latex paint</x:v>
      </x:c>
      <x:c r="J396" t="str">
        <x:v>Pika 2.2</x:v>
      </x:c>
      <x:c r="K396" t="str">
        <x:v>Constraint-Rich Negative Prompt</x:v>
      </x:c>
      <x:c r="L396" t="str">
        <x:v>Adds concise no-floating-tools/no-extra-objects/no-morphing constraints.</x:v>
      </x:c>
      <x:c r="M396" t="str">
        <x:v>Close-up realistic instructional DIY video: roll paint in overlapping W strokes on a wall. Show paint roller working on wall section, latex paint. Hands visible, stable camera, no text overlay, neutral shop lighting. Constraints: no floating tools, no extra tools, no morphing hands, no reversed motion, no impossible deformation, no dramatic camera spin. Keep the full action legible.</x:v>
      </x:c>
      <x:c r="N396" s="14" t="n">
        <x:v>5</x:v>
      </x:c>
      <x:c r="O396" s="14" t="n">
        <x:v>100664</x:v>
      </x:c>
      <x:c r="P396" t="str">
        <x:v>R-A</x:v>
      </x:c>
      <x:c r="Q396" s="12" t="n">
        <x:v>3.88</x:v>
      </x:c>
      <x:c r="R396" s="12" t="n">
        <x:v>3.9</x:v>
      </x:c>
      <x:c r="S396" s="12" t="n">
        <x:v>3.43</x:v>
      </x:c>
      <x:c r="T396" s="12" t="n">
        <x:v>4.37</x:v>
      </x:c>
      <x:c r="U396" s="12" t="n">
        <x:v>3.7</x:v>
      </x:c>
      <x:c r="V396" s="12" t="n">
        <x:v>3.85</x:v>
      </x:c>
      <x:c r="W396" s="12" t="n">
        <x:f>ROUND((Q396*0.24)+(R396*0.22)+(S396*0.16)+(T396*0.18)+(U396*0.10)+(V396*0.10),2)</x:f>
        <x:v>3.88</x:v>
      </x:c>
      <x:c r="X396" t="str">
        <x:f>IF(W396&gt;=3.55,"Pass","Fail")</x:f>
        <x:v>Pass</x:v>
      </x:c>
      <x:c r="Y396" t="str">
        <x:v>endpoint not visible</x:v>
      </x:c>
      <x:c r="Z396" t="str">
        <x:v>QA note: I would keep this as a rough candidate. It communicates the step, although the failure mode makes it weaker than a real sourced clip: endpoint not visible. On a small preview it might pass, but full-screen review exposes the issue. The negative constraints help, but they do not fully solve the mechanics.</x:v>
      </x:c>
      <x:c r="AA396" t="str">
        <x:v>Use a reference image for the paint roller and specify its grip/orientation in plain language.</x:v>
      </x:c>
      <x:c r="AB396" t="str">
        <x:v>Medium-High</x:v>
      </x:c>
      <x:c r="AC396" t="str"/>
      <x:c r="AD396" t="str">
        <x:v>Planning dataset only; scores are plausible placeholders, not vendor claims.</x:v>
      </x:c>
    </x:row>
    <x:row r="397">
      <x:c r="A397" t="str">
        <x:v>S066-Vidu-CON</x:v>
      </x:c>
      <x:c r="B397" t="str">
        <x:v>S066</x:v>
      </x:c>
      <x:c r="C397" t="str">
        <x:v>Painting</x:v>
      </x:c>
      <x:c r="D397" t="str">
        <x:v>rolling</x:v>
      </x:c>
      <x:c r="E397" t="str">
        <x:v>rolling</x:v>
      </x:c>
      <x:c r="F397" t="n">
        <x:v>2</x:v>
      </x:c>
      <x:c r="G397" t="str">
        <x:v>roll paint in overlapping W strokes on a wall</x:v>
      </x:c>
      <x:c r="H397" t="str">
        <x:v>paint roller</x:v>
      </x:c>
      <x:c r="I397" t="str">
        <x:v>wall section, latex paint</x:v>
      </x:c>
      <x:c r="J397" t="str">
        <x:v>Vidu 2.0</x:v>
      </x:c>
      <x:c r="K397" t="str">
        <x:v>Constraint-Rich Negative Prompt</x:v>
      </x:c>
      <x:c r="L397" t="str">
        <x:v>Adds concise no-floating-tools/no-extra-objects/no-morphing constraints.</x:v>
      </x:c>
      <x:c r="M397" t="str">
        <x:v>Close-up realistic instructional DIY video: roll paint in overlapping W strokes on a wall. Show paint roller working on wall section, latex paint. Hands visible, stable camera, no text overlay, neutral shop lighting. Constraints: no floating tools, no extra tools, no morphing hands, no reversed motion, no impossible deformation, no dramatic camera spin. Keep the full action legible.</x:v>
      </x:c>
      <x:c r="N397" s="14" t="n">
        <x:v>5</x:v>
      </x:c>
      <x:c r="O397" s="14" t="n">
        <x:v>100665</x:v>
      </x:c>
      <x:c r="P397" t="str">
        <x:v>R-A</x:v>
      </x:c>
      <x:c r="Q397" s="12" t="n">
        <x:v>3.33</x:v>
      </x:c>
      <x:c r="R397" s="12" t="n">
        <x:v>3.36</x:v>
      </x:c>
      <x:c r="S397" s="12" t="n">
        <x:v>2.77</x:v>
      </x:c>
      <x:c r="T397" s="12" t="n">
        <x:v>3.49</x:v>
      </x:c>
      <x:c r="U397" s="12" t="n">
        <x:v>3.24</x:v>
      </x:c>
      <x:c r="V397" s="12" t="n">
        <x:v>3.42</x:v>
      </x:c>
      <x:c r="W397" s="12" t="n">
        <x:f>ROUND((Q397*0.24)+(R397*0.22)+(S397*0.16)+(T397*0.18)+(U397*0.10)+(V397*0.10),2)</x:f>
        <x:v>3.28</x:v>
      </x:c>
      <x:c r="X397" t="str">
        <x:f>IF(W397&gt;=3.55,"Pass","Fail")</x:f>
        <x:v>Fail</x:v>
      </x:c>
      <x:c r="Y397" t="str">
        <x:v>wrong grip on tool</x:v>
      </x:c>
      <x:c r="Z397" t="str">
        <x:v>Human check: The clip looks like generic DIY stock footage rather than this specific step. The main problem is wrong grip on tool, and the end state is not verifiable. I marked it down for the key moment rather than the opening setup. The negative constraints help, but they do not fully solve the mechanics.</x:v>
      </x:c>
      <x:c r="AA397" t="str">
        <x:v>Move safety language earlier in the prompt and remove cinematic camera instructions.</x:v>
      </x:c>
      <x:c r="AB397" t="str">
        <x:v>Low</x:v>
      </x:c>
      <x:c r="AC397" t="str"/>
      <x:c r="AD397" t="str">
        <x:v>Simulated pilot row for planning; replace with blinded ratings after generating actual clips.</x:v>
      </x:c>
    </x:row>
    <x:row r="398">
      <x:c r="A398" t="str">
        <x:v>S067-Veo-DIR</x:v>
      </x:c>
      <x:c r="B398" t="str">
        <x:v>S067</x:v>
      </x:c>
      <x:c r="C398" t="str">
        <x:v>Painting</x:v>
      </x:c>
      <x:c r="D398" t="str">
        <x:v>tray setup</x:v>
      </x:c>
      <x:c r="E398" t="str">
        <x:v>loading</x:v>
      </x:c>
      <x:c r="F398" t="n">
        <x:v>1</x:v>
      </x:c>
      <x:c r="G398" t="str">
        <x:v>load a roller evenly without dripping</x:v>
      </x:c>
      <x:c r="H398" t="str">
        <x:v>paint roller</x:v>
      </x:c>
      <x:c r="I398" t="str">
        <x:v>paint tray</x:v>
      </x:c>
      <x:c r="J398" t="str">
        <x:v>Veo 3.1</x:v>
      </x:c>
      <x:c r="K398" t="str">
        <x:v>Direct Natural Language</x:v>
      </x:c>
      <x:c r="L398" t="str">
        <x:v>Baseline wording only; no explicit decomposition.</x:v>
      </x:c>
      <x:c r="M398" t="str">
        <x:v>Close-up realistic instructional DIY video: load a roller evenly without dripping. Show paint roller working on paint tray. Hands visible, stable camera, no text overlay, neutral shop lighting.</x:v>
      </x:c>
      <x:c r="N398" s="14" t="n">
        <x:v>8</x:v>
      </x:c>
      <x:c r="O398" s="14" t="n">
        <x:v>100670</x:v>
      </x:c>
      <x:c r="P398" t="str">
        <x:v>R-D</x:v>
      </x:c>
      <x:c r="Q398" s="12" t="n">
        <x:v>4.19</x:v>
      </x:c>
      <x:c r="R398" s="12" t="n">
        <x:v>4.31</x:v>
      </x:c>
      <x:c r="S398" s="12" t="n">
        <x:v>4.07</x:v>
      </x:c>
      <x:c r="T398" s="12" t="n">
        <x:v>4.1</x:v>
      </x:c>
      <x:c r="U398" s="12" t="n">
        <x:v>3.86</x:v>
      </x:c>
      <x:c r="V398" s="12" t="n">
        <x:v>3.8</x:v>
      </x:c>
      <x:c r="W398" s="12" t="n">
        <x:f>ROUND((Q398*0.24)+(R398*0.22)+(S398*0.16)+(T398*0.18)+(U398*0.10)+(V398*0.10),2)</x:f>
        <x:v>4.11</x:v>
      </x:c>
      <x:c r="X398" t="str">
        <x:f>IF(W398&gt;=3.55,"Pass","Fail")</x:f>
        <x:v>Pass</x:v>
      </x:c>
      <x:c r="Y398" t="str">
        <x:v>minor continuity jump</x:v>
      </x:c>
      <x:c r="Z398" t="str">
        <x:v>Rater note: Looks plausible at first glance. On a second pass, the paint tray shifts slightly and the model seems to infer the outcome rather than show the full loading. I marked it down for the key moment rather than the opening setup. For this painting example, the main judgment is still whether the viewer can copy the motion.</x:v>
      </x:c>
      <x:c r="AA398" t="str">
        <x:v>Break the action into start, contact, movement, and finish; ban extra tools and hand morphing.</x:v>
      </x:c>
      <x:c r="AB398" t="str">
        <x:v>Medium</x:v>
      </x:c>
      <x:c r="AC398" t="str"/>
      <x:c r="AD398" t="str">
        <x:v>Planning dataset only; scores are plausible placeholders, not vendor claims.</x:v>
      </x:c>
    </x:row>
    <x:row r="399">
      <x:c r="A399" t="str">
        <x:v>S067-Sora-DIR</x:v>
      </x:c>
      <x:c r="B399" t="str">
        <x:v>S067</x:v>
      </x:c>
      <x:c r="C399" t="str">
        <x:v>Painting</x:v>
      </x:c>
      <x:c r="D399" t="str">
        <x:v>tray setup</x:v>
      </x:c>
      <x:c r="E399" t="str">
        <x:v>loading</x:v>
      </x:c>
      <x:c r="F399" t="n">
        <x:v>1</x:v>
      </x:c>
      <x:c r="G399" t="str">
        <x:v>load a roller evenly without dripping</x:v>
      </x:c>
      <x:c r="H399" t="str">
        <x:v>paint roller</x:v>
      </x:c>
      <x:c r="I399" t="str">
        <x:v>paint tray</x:v>
      </x:c>
      <x:c r="J399" t="str">
        <x:v>Sora 2 Pro</x:v>
      </x:c>
      <x:c r="K399" t="str">
        <x:v>Direct Natural Language</x:v>
      </x:c>
      <x:c r="L399" t="str">
        <x:v>Baseline wording only; no explicit decomposition.</x:v>
      </x:c>
      <x:c r="M399" t="str">
        <x:v>Close-up realistic instructional DIY video: load a roller evenly without dripping. Show paint roller working on paint tray. Hands visible, stable camera, no text overlay, neutral shop lighting.</x:v>
      </x:c>
      <x:c r="N399" s="14" t="n">
        <x:v>8</x:v>
      </x:c>
      <x:c r="O399" s="14" t="n">
        <x:v>100671</x:v>
      </x:c>
      <x:c r="P399" t="str">
        <x:v>R-A</x:v>
      </x:c>
      <x:c r="Q399" s="12" t="n">
        <x:v>3.8</x:v>
      </x:c>
      <x:c r="R399" s="12" t="n">
        <x:v>4.29</x:v>
      </x:c>
      <x:c r="S399" s="12" t="n">
        <x:v>3.85</x:v>
      </x:c>
      <x:c r="T399" s="12" t="n">
        <x:v>4.35</x:v>
      </x:c>
      <x:c r="U399" s="12" t="n">
        <x:v>4.04</x:v>
      </x:c>
      <x:c r="V399" s="12" t="n">
        <x:v>4.29</x:v>
      </x:c>
      <x:c r="W399" s="12" t="n">
        <x:f>ROUND((Q399*0.24)+(R399*0.22)+(S399*0.16)+(T399*0.18)+(U399*0.10)+(V399*0.10),2)</x:f>
        <x:v>4.09</x:v>
      </x:c>
      <x:c r="X399" t="str">
        <x:f>IF(W399&gt;=3.55,"Pass","Fail")</x:f>
        <x:v>Pass</x:v>
      </x:c>
      <x:c r="Y399" t="str">
        <x:v>contact point hidden</x:v>
      </x:c>
      <x:c r="Z399" t="str">
        <x:v>Review note: The clip has the right ingredients but not quite the right mechanics. It needs a tighter prompt about grip, contact, and the end position. The mistake appears late, so a simple thumbnail review would probably miss it. For this painting example, the main judgment is still whether the viewer can copy the motion.</x:v>
      </x:c>
      <x:c r="AA399" t="str">
        <x:v>Use sequential context only for continuity, not for adding previous/next steps into the frame.</x:v>
      </x:c>
      <x:c r="AB399" t="str">
        <x:v>Medium-High</x:v>
      </x:c>
      <x:c r="AC399" t="str"/>
      <x:c r="AD399" t="str">
        <x:v>Synthetic benchmark entry; generated clip URL should be filled after API run.</x:v>
      </x:c>
    </x:row>
    <x:row r="400">
      <x:c r="A400" t="str">
        <x:v>S067-Runway-DIR</x:v>
      </x:c>
      <x:c r="B400" t="str">
        <x:v>S067</x:v>
      </x:c>
      <x:c r="C400" t="str">
        <x:v>Painting</x:v>
      </x:c>
      <x:c r="D400" t="str">
        <x:v>tray setup</x:v>
      </x:c>
      <x:c r="E400" t="str">
        <x:v>loading</x:v>
      </x:c>
      <x:c r="F400" t="n">
        <x:v>1</x:v>
      </x:c>
      <x:c r="G400" t="str">
        <x:v>load a roller evenly without dripping</x:v>
      </x:c>
      <x:c r="H400" t="str">
        <x:v>paint roller</x:v>
      </x:c>
      <x:c r="I400" t="str">
        <x:v>paint tray</x:v>
      </x:c>
      <x:c r="J400" t="str">
        <x:v>Runway Gen-4.5</x:v>
      </x:c>
      <x:c r="K400" t="str">
        <x:v>Direct Natural Language</x:v>
      </x:c>
      <x:c r="L400" t="str">
        <x:v>Baseline wording only; no explicit decomposition.</x:v>
      </x:c>
      <x:c r="M400" t="str">
        <x:v>Close-up realistic instructional DIY video: load a roller evenly without dripping. Show paint roller working on paint tray. Hands visible, stable camera, no text overlay, neutral shop lighting.</x:v>
      </x:c>
      <x:c r="N400" s="14" t="n">
        <x:v>5</x:v>
      </x:c>
      <x:c r="O400" s="14" t="n">
        <x:v>100672</x:v>
      </x:c>
      <x:c r="P400" t="str">
        <x:v>R-E</x:v>
      </x:c>
      <x:c r="Q400" s="12" t="n">
        <x:v>4.02</x:v>
      </x:c>
      <x:c r="R400" s="12" t="n">
        <x:v>4.36</x:v>
      </x:c>
      <x:c r="S400" s="12" t="n">
        <x:v>4.19</x:v>
      </x:c>
      <x:c r="T400" s="12" t="n">
        <x:v>4.1</x:v>
      </x:c>
      <x:c r="U400" s="12" t="n">
        <x:v>4.49</x:v>
      </x:c>
      <x:c r="V400" s="12" t="n">
        <x:v>3.95</x:v>
      </x:c>
      <x:c r="W400" s="12" t="n">
        <x:f>ROUND((Q400*0.24)+(R400*0.22)+(S400*0.16)+(T400*0.18)+(U400*0.10)+(V400*0.10),2)</x:f>
        <x:v>4.18</x:v>
      </x:c>
      <x:c r="X400" t="str">
        <x:f>IF(W400&gt;=3.55,"Pass","Fail")</x:f>
        <x:v>Pass</x:v>
      </x:c>
      <x:c r="Y400" t="str">
        <x:v>tool pose a little soft</x:v>
      </x:c>
      <x:c r="Z400" t="str">
        <x:v>Rater note: This one would probably pass a quick review. The paint roller stays believable, the start and end states are easy to read, and the only nit is that object pose drifts slightly. The most important fix is to show the before-and-after state without a cut. For this painting example, the main judgment is still whether the viewer can copy the motion.</x:v>
      </x:c>
      <x:c r="AA400" t="str">
        <x:v>Break the action into start, contact, movement, and finish; ban extra tools and hand morphing.</x:v>
      </x:c>
      <x:c r="AB400" t="str">
        <x:v>High</x:v>
      </x:c>
      <x:c r="AC400" t="str"/>
      <x:c r="AD400" t="str">
        <x:v>Simulated pilot row for planning; replace with blinded ratings after generating actual clips.</x:v>
      </x:c>
    </x:row>
    <x:row r="401">
      <x:c r="A401" t="str">
        <x:v>S067-Kling-DIR</x:v>
      </x:c>
      <x:c r="B401" t="str">
        <x:v>S067</x:v>
      </x:c>
      <x:c r="C401" t="str">
        <x:v>Painting</x:v>
      </x:c>
      <x:c r="D401" t="str">
        <x:v>tray setup</x:v>
      </x:c>
      <x:c r="E401" t="str">
        <x:v>loading</x:v>
      </x:c>
      <x:c r="F401" t="n">
        <x:v>1</x:v>
      </x:c>
      <x:c r="G401" t="str">
        <x:v>load a roller evenly without dripping</x:v>
      </x:c>
      <x:c r="H401" t="str">
        <x:v>paint roller</x:v>
      </x:c>
      <x:c r="I401" t="str">
        <x:v>paint tray</x:v>
      </x:c>
      <x:c r="J401" t="str">
        <x:v>Kling v3.0 (Replicate)</x:v>
      </x:c>
      <x:c r="K401" t="str">
        <x:v>Direct Natural Language</x:v>
      </x:c>
      <x:c r="L401" t="str">
        <x:v>Baseline wording only; no explicit decomposition.</x:v>
      </x:c>
      <x:c r="M401" t="str">
        <x:v>Close-up realistic instructional DIY video: load a roller evenly without dripping. Show paint roller working on paint tray. Hands visible, stable camera, no text overlay, neutral shop lighting.</x:v>
      </x:c>
      <x:c r="N401" s="14" t="n">
        <x:v>10</x:v>
      </x:c>
      <x:c r="O401" s="14" t="n">
        <x:v>100673</x:v>
      </x:c>
      <x:c r="P401" t="str">
        <x:v>R-B</x:v>
      </x:c>
      <x:c r="Q401" s="12" t="n">
        <x:v>3.86</x:v>
      </x:c>
      <x:c r="R401" s="12" t="n">
        <x:v>3.9</x:v>
      </x:c>
      <x:c r="S401" s="12" t="n">
        <x:v>3.77</x:v>
      </x:c>
      <x:c r="T401" s="12" t="n">
        <x:v>3.72</x:v>
      </x:c>
      <x:c r="U401" s="12" t="n">
        <x:v>4.05</x:v>
      </x:c>
      <x:c r="V401" s="12" t="n">
        <x:v>3.88</x:v>
      </x:c>
      <x:c r="W401" s="12" t="n">
        <x:f>ROUND((Q401*0.24)+(R401*0.22)+(S401*0.16)+(T401*0.18)+(U401*0.10)+(V401*0.10),2)</x:f>
        <x:v>3.85</x:v>
      </x:c>
      <x:c r="X401" t="str">
        <x:f>IF(W401&gt;=3.55,"Pass","Fail")</x:f>
        <x:v>Pass</x:v>
      </x:c>
      <x:c r="Y401" t="str">
        <x:v>minor continuity jump</x:v>
      </x:c>
      <x:c r="Z401" t="str">
        <x:v>Human check: Looks plausible at first glance. On a second pass, the paint tray shifts slightly and the model seems to infer the outcome rather than show the full loading. This would be safer as a reference-aided run than a text-only run. For this painting example, the main judgment is still whether the viewer can copy the motion.</x:v>
      </x:c>
      <x:c r="AA401" t="str">
        <x:v>Move safety language earlier in the prompt and remove cinematic camera instructions.</x:v>
      </x:c>
      <x:c r="AB401" t="str">
        <x:v>High</x:v>
      </x:c>
      <x:c r="AC401" t="str"/>
      <x:c r="AD401" t="str">
        <x:v>Simulated pilot row for planning; replace with blinded ratings after generating actual clips.</x:v>
      </x:c>
    </x:row>
    <x:row r="402">
      <x:c r="A402" t="str">
        <x:v>S067-Pika-DIR</x:v>
      </x:c>
      <x:c r="B402" t="str">
        <x:v>S067</x:v>
      </x:c>
      <x:c r="C402" t="str">
        <x:v>Painting</x:v>
      </x:c>
      <x:c r="D402" t="str">
        <x:v>tray setup</x:v>
      </x:c>
      <x:c r="E402" t="str">
        <x:v>loading</x:v>
      </x:c>
      <x:c r="F402" t="n">
        <x:v>1</x:v>
      </x:c>
      <x:c r="G402" t="str">
        <x:v>load a roller evenly without dripping</x:v>
      </x:c>
      <x:c r="H402" t="str">
        <x:v>paint roller</x:v>
      </x:c>
      <x:c r="I402" t="str">
        <x:v>paint tray</x:v>
      </x:c>
      <x:c r="J402" t="str">
        <x:v>Pika 2.2</x:v>
      </x:c>
      <x:c r="K402" t="str">
        <x:v>Direct Natural Language</x:v>
      </x:c>
      <x:c r="L402" t="str">
        <x:v>Baseline wording only; no explicit decomposition.</x:v>
      </x:c>
      <x:c r="M402" t="str">
        <x:v>Close-up realistic instructional DIY video: load a roller evenly without dripping. Show paint roller working on paint tray. Hands visible, stable camera, no text overlay, neutral shop lighting.</x:v>
      </x:c>
      <x:c r="N402" s="14" t="n">
        <x:v>5</x:v>
      </x:c>
      <x:c r="O402" s="14" t="n">
        <x:v>100674</x:v>
      </x:c>
      <x:c r="P402" t="str">
        <x:v>R-C</x:v>
      </x:c>
      <x:c r="Q402" s="12" t="n">
        <x:v>3.62</x:v>
      </x:c>
      <x:c r="R402" s="12" t="n">
        <x:v>3.54</x:v>
      </x:c>
      <x:c r="S402" s="12" t="n">
        <x:v>3.55</x:v>
      </x:c>
      <x:c r="T402" s="12" t="n">
        <x:v>3.13</x:v>
      </x:c>
      <x:c r="U402" s="12" t="n">
        <x:v>3.73</x:v>
      </x:c>
      <x:c r="V402" s="12" t="n">
        <x:v>3.79</x:v>
      </x:c>
      <x:c r="W402" s="12" t="n">
        <x:f>ROUND((Q402*0.24)+(R402*0.22)+(S402*0.16)+(T402*0.18)+(U402*0.10)+(V402*0.10),2)</x:f>
        <x:v>3.53</x:v>
      </x:c>
      <x:c r="X402" t="str">
        <x:f>IF(W402&gt;=3.55,"Pass","Fail")</x:f>
        <x:v>Fail</x:v>
      </x:c>
      <x:c r="Y402" t="str">
        <x:v>object morphs</x:v>
      </x:c>
      <x:c r="Z402" t="str">
        <x:v>Clip review: This should fail the instructional bar. The model gestures toward the task, but the failure mode prevents a learner from trusting the technique: object morphs. The most important fix is to show the before-and-after state without a cut. The baseline prompt is likely under-specifying the tool path.</x:v>
      </x:c>
      <x:c r="AA402" t="str">
        <x:v>Break the action into start, contact, movement, and finish; ban extra tools and hand morphing.</x:v>
      </x:c>
      <x:c r="AB402" t="str">
        <x:v>High</x:v>
      </x:c>
      <x:c r="AC402" t="str"/>
      <x:c r="AD402" t="str">
        <x:v>Planning dataset only; scores are plausible placeholders, not vendor claims.</x:v>
      </x:c>
    </x:row>
    <x:row r="403">
      <x:c r="A403" t="str">
        <x:v>S067-Vidu-DIR</x:v>
      </x:c>
      <x:c r="B403" t="str">
        <x:v>S067</x:v>
      </x:c>
      <x:c r="C403" t="str">
        <x:v>Painting</x:v>
      </x:c>
      <x:c r="D403" t="str">
        <x:v>tray setup</x:v>
      </x:c>
      <x:c r="E403" t="str">
        <x:v>loading</x:v>
      </x:c>
      <x:c r="F403" t="n">
        <x:v>1</x:v>
      </x:c>
      <x:c r="G403" t="str">
        <x:v>load a roller evenly without dripping</x:v>
      </x:c>
      <x:c r="H403" t="str">
        <x:v>paint roller</x:v>
      </x:c>
      <x:c r="I403" t="str">
        <x:v>paint tray</x:v>
      </x:c>
      <x:c r="J403" t="str">
        <x:v>Vidu 2.0</x:v>
      </x:c>
      <x:c r="K403" t="str">
        <x:v>Direct Natural Language</x:v>
      </x:c>
      <x:c r="L403" t="str">
        <x:v>Baseline wording only; no explicit decomposition.</x:v>
      </x:c>
      <x:c r="M403" t="str">
        <x:v>Close-up realistic instructional DIY video: load a roller evenly without dripping. Show paint roller working on paint tray. Hands visible, stable camera, no text overlay, neutral shop lighting.</x:v>
      </x:c>
      <x:c r="N403" s="14" t="n">
        <x:v>5</x:v>
      </x:c>
      <x:c r="O403" s="14" t="n">
        <x:v>100675</x:v>
      </x:c>
      <x:c r="P403" t="str">
        <x:v>R-B</x:v>
      </x:c>
      <x:c r="Q403" s="12" t="n">
        <x:v>2.84</x:v>
      </x:c>
      <x:c r="R403" s="12" t="n">
        <x:v>3.12</x:v>
      </x:c>
      <x:c r="S403" s="12" t="n">
        <x:v>3.41</x:v>
      </x:c>
      <x:c r="T403" s="12" t="n">
        <x:v>3.48</x:v>
      </x:c>
      <x:c r="U403" s="12" t="n">
        <x:v>3.58</x:v>
      </x:c>
      <x:c r="V403" s="12" t="n">
        <x:v>3.38</x:v>
      </x:c>
      <x:c r="W403" s="12" t="n">
        <x:f>ROUND((Q403*0.24)+(R403*0.22)+(S403*0.16)+(T403*0.18)+(U403*0.10)+(V403*0.10),2)</x:f>
        <x:v>3.24</x:v>
      </x:c>
      <x:c r="X403" t="str">
        <x:f>IF(W403&gt;=3.55,"Pass","Fail")</x:f>
        <x:v>Fail</x:v>
      </x:c>
      <x:c r="Y403" t="str">
        <x:v>action starts too late</x:v>
      </x:c>
      <x:c r="Z403" t="str">
        <x:v>Review note: This should fail the instructional bar. The model gestures toward the task, but the failure mode prevents a learner from trusting the technique: action starts too late. The next prompt should slow the final second instead of adding more scene detail. The baseline prompt is likely under-specifying the tool path.</x:v>
      </x:c>
      <x:c r="AA403" t="str">
        <x:v>Use sequential context only for continuity, not for adding previous/next steps into the frame.</x:v>
      </x:c>
      <x:c r="AB403" t="str">
        <x:v>Low</x:v>
      </x:c>
      <x:c r="AC403" t="str"/>
      <x:c r="AD403" t="str">
        <x:v>Synthetic benchmark entry; generated clip URL should be filled after API run.</x:v>
      </x:c>
    </x:row>
    <x:row r="404">
      <x:c r="A404" t="str">
        <x:v>S068-Veo-STR</x:v>
      </x:c>
      <x:c r="B404" t="str">
        <x:v>S068</x:v>
      </x:c>
      <x:c r="C404" t="str">
        <x:v>Painting</x:v>
      </x:c>
      <x:c r="D404" t="str">
        <x:v>finish</x:v>
      </x:c>
      <x:c r="E404" t="str">
        <x:v>feathering</x:v>
      </x:c>
      <x:c r="F404" t="n">
        <x:v>3</x:v>
      </x:c>
      <x:c r="G404" t="str">
        <x:v>feather the wet edge between two roller passes</x:v>
      </x:c>
      <x:c r="H404" t="str">
        <x:v>paint roller</x:v>
      </x:c>
      <x:c r="I404" t="str">
        <x:v>painted wall</x:v>
      </x:c>
      <x:c r="J404" t="str">
        <x:v>Veo 3.1</x:v>
      </x:c>
      <x:c r="K404" t="str">
        <x:v>Structured Action-Object-Tool</x:v>
      </x:c>
      <x:c r="L404" t="str">
        <x:v>Action, tool, object, grip, contact point, start/end states.</x:v>
      </x:c>
      <x:c r="M404" t="str">
        <x:v>Close-up realistic instructional DIY video: feather the wet edge between two roller passes. Show paint roller working on painted wall. Hands visible, stable camera, no text overlay, neutral shop lighting. Action=feathering; tool=paint roller; object/material=painted wall; show tool-to-object contact; start state, motion, and finished state all visible.</x:v>
      </x:c>
      <x:c r="N404" s="14" t="n">
        <x:v>8</x:v>
      </x:c>
      <x:c r="O404" s="14" t="n">
        <x:v>100680</x:v>
      </x:c>
      <x:c r="P404" t="str">
        <x:v>R-A</x:v>
      </x:c>
      <x:c r="Q404" s="12" t="n">
        <x:v>4.81</x:v>
      </x:c>
      <x:c r="R404" s="12" t="n">
        <x:v>4.72</x:v>
      </x:c>
      <x:c r="S404" s="12" t="n">
        <x:v>4.79</x:v>
      </x:c>
      <x:c r="T404" s="12" t="n">
        <x:v>4</x:v>
      </x:c>
      <x:c r="U404" s="12" t="n">
        <x:v>4.24</x:v>
      </x:c>
      <x:c r="V404" s="12" t="n">
        <x:v>3.93</x:v>
      </x:c>
      <x:c r="W404" s="12" t="n">
        <x:f>ROUND((Q404*0.24)+(R404*0.22)+(S404*0.16)+(T404*0.18)+(U404*0.10)+(V404*0.10),2)</x:f>
        <x:v>4.5</x:v>
      </x:c>
      <x:c r="X404" t="str">
        <x:f>IF(W404&gt;=3.55,"Pass","Fail")</x:f>
        <x:v>Pass</x:v>
      </x:c>
      <x:c r="Y404" t="str">
        <x:v>none</x:v>
      </x:c>
      <x:c r="Z404" t="str">
        <x:v>Review note: Good continuity from frame to frame. The paint roller makes visual contact with the workpiece and the motion does not feel invented. On a small preview it might pass, but full-screen review exposes the issue. For this painting example, the main judgment is still whether the viewer can copy the motion.</x:v>
      </x:c>
      <x:c r="AA404" t="str">
        <x:v>No immediate re-run; keep as candidate and verify with a second rater.</x:v>
      </x:c>
      <x:c r="AB404" t="str">
        <x:v>Medium</x:v>
      </x:c>
      <x:c r="AC404" t="str"/>
      <x:c r="AD404" t="str">
        <x:v>Synthetic benchmark entry; generated clip URL should be filled after API run.</x:v>
      </x:c>
    </x:row>
    <x:row r="405">
      <x:c r="A405" t="str">
        <x:v>S068-Sora-STR</x:v>
      </x:c>
      <x:c r="B405" t="str">
        <x:v>S068</x:v>
      </x:c>
      <x:c r="C405" t="str">
        <x:v>Painting</x:v>
      </x:c>
      <x:c r="D405" t="str">
        <x:v>finish</x:v>
      </x:c>
      <x:c r="E405" t="str">
        <x:v>feathering</x:v>
      </x:c>
      <x:c r="F405" t="n">
        <x:v>3</x:v>
      </x:c>
      <x:c r="G405" t="str">
        <x:v>feather the wet edge between two roller passes</x:v>
      </x:c>
      <x:c r="H405" t="str">
        <x:v>paint roller</x:v>
      </x:c>
      <x:c r="I405" t="str">
        <x:v>painted wall</x:v>
      </x:c>
      <x:c r="J405" t="str">
        <x:v>Sora 2 Pro</x:v>
      </x:c>
      <x:c r="K405" t="str">
        <x:v>Structured Action-Object-Tool</x:v>
      </x:c>
      <x:c r="L405" t="str">
        <x:v>Action, tool, object, grip, contact point, start/end states.</x:v>
      </x:c>
      <x:c r="M405" t="str">
        <x:v>Close-up realistic instructional DIY video: feather the wet edge between two roller passes. Show paint roller working on painted wall. Hands visible, stable camera, no text overlay, neutral shop lighting. Action=feathering; tool=paint roller; object/material=painted wall; show tool-to-object contact; start state, motion, and finished state all visible.</x:v>
      </x:c>
      <x:c r="N405" s="14" t="n">
        <x:v>8</x:v>
      </x:c>
      <x:c r="O405" s="14" t="n">
        <x:v>100681</x:v>
      </x:c>
      <x:c r="P405" t="str">
        <x:v>R-A</x:v>
      </x:c>
      <x:c r="Q405" s="12" t="n">
        <x:v>4.33</x:v>
      </x:c>
      <x:c r="R405" s="12" t="n">
        <x:v>4.48</x:v>
      </x:c>
      <x:c r="S405" s="12" t="n">
        <x:v>3.74</x:v>
      </x:c>
      <x:c r="T405" s="12" t="n">
        <x:v>4.21</x:v>
      </x:c>
      <x:c r="U405" s="12" t="n">
        <x:v>4.39</x:v>
      </x:c>
      <x:c r="V405" s="12" t="n">
        <x:v>3.53</x:v>
      </x:c>
      <x:c r="W405" s="12" t="n">
        <x:f>ROUND((Q405*0.24)+(R405*0.22)+(S405*0.16)+(T405*0.18)+(U405*0.10)+(V405*0.10),2)</x:f>
        <x:v>4.17</x:v>
      </x:c>
      <x:c r="X405" t="str">
        <x:f>IF(W405&gt;=3.55,"Pass","Fail")</x:f>
        <x:v>Pass</x:v>
      </x:c>
      <x:c r="Y405" t="str">
        <x:v>minor continuity jump</x:v>
      </x:c>
      <x:c r="Z405" t="str">
        <x:v>QA note: Best part is the pacing: it gives enough time to understand feathering without turning into a beauty shot. Minor issue: overly cinematic framing. This reads better as a teaser than as an instructional clip. For this painting example, the main judgment is still whether the viewer can copy the motion.</x:v>
      </x:c>
      <x:c r="AA405" t="str">
        <x:v>Use a reference image for the paint roller and specify its grip/orientation in plain language.</x:v>
      </x:c>
      <x:c r="AB405" t="str">
        <x:v>Medium</x:v>
      </x:c>
      <x:c r="AC405" t="str"/>
      <x:c r="AD405" t="str">
        <x:v>Simulated pilot row for planning; replace with blinded ratings after generating actual clips.</x:v>
      </x:c>
    </x:row>
    <x:row r="406">
      <x:c r="A406" t="str">
        <x:v>S068-Runway-STR</x:v>
      </x:c>
      <x:c r="B406" t="str">
        <x:v>S068</x:v>
      </x:c>
      <x:c r="C406" t="str">
        <x:v>Painting</x:v>
      </x:c>
      <x:c r="D406" t="str">
        <x:v>finish</x:v>
      </x:c>
      <x:c r="E406" t="str">
        <x:v>feathering</x:v>
      </x:c>
      <x:c r="F406" t="n">
        <x:v>3</x:v>
      </x:c>
      <x:c r="G406" t="str">
        <x:v>feather the wet edge between two roller passes</x:v>
      </x:c>
      <x:c r="H406" t="str">
        <x:v>paint roller</x:v>
      </x:c>
      <x:c r="I406" t="str">
        <x:v>painted wall</x:v>
      </x:c>
      <x:c r="J406" t="str">
        <x:v>Runway Gen-4.5</x:v>
      </x:c>
      <x:c r="K406" t="str">
        <x:v>Structured Action-Object-Tool</x:v>
      </x:c>
      <x:c r="L406" t="str">
        <x:v>Action, tool, object, grip, contact point, start/end states.</x:v>
      </x:c>
      <x:c r="M406" t="str">
        <x:v>Close-up realistic instructional DIY video: feather the wet edge between two roller passes. Show paint roller working on painted wall. Hands visible, stable camera, no text overlay, neutral shop lighting. Action=feathering; tool=paint roller; object/material=painted wall; show tool-to-object contact; start state, motion, and finished state all visible.</x:v>
      </x:c>
      <x:c r="N406" s="14" t="n">
        <x:v>5</x:v>
      </x:c>
      <x:c r="O406" s="14" t="n">
        <x:v>100682</x:v>
      </x:c>
      <x:c r="P406" t="str">
        <x:v>R-A</x:v>
      </x:c>
      <x:c r="Q406" s="12" t="n">
        <x:v>3.54</x:v>
      </x:c>
      <x:c r="R406" s="12" t="n">
        <x:v>3.64</x:v>
      </x:c>
      <x:c r="S406" s="12" t="n">
        <x:v>4.07</x:v>
      </x:c>
      <x:c r="T406" s="12" t="n">
        <x:v>3.46</x:v>
      </x:c>
      <x:c r="U406" s="12" t="n">
        <x:v>3.61</x:v>
      </x:c>
      <x:c r="V406" s="12" t="n">
        <x:v>3.81</x:v>
      </x:c>
      <x:c r="W406" s="12" t="n">
        <x:f>ROUND((Q406*0.24)+(R406*0.22)+(S406*0.16)+(T406*0.18)+(U406*0.10)+(V406*0.10),2)</x:f>
        <x:v>3.67</x:v>
      </x:c>
      <x:c r="X406" t="str">
        <x:f>IF(W406&gt;=3.55,"Pass","Fail")</x:f>
        <x:v>Pass</x:v>
      </x:c>
      <x:c r="Y406" t="str">
        <x:v>material looks wrong</x:v>
      </x:c>
      <x:c r="Z406" t="str">
        <x:v>Rater note: Usable, but I would not show it without review. The paint roller is recognizable, yet the exact contact point is hard to see when the hand crosses the frame. This would be safer as a reference-aided run than a text-only run. For this painting example, the main judgment is still whether the viewer can copy the motion.</x:v>
      </x:c>
      <x:c r="AA406" t="str">
        <x:v>Use a reference image for the paint roller and specify its grip/orientation in plain language.</x:v>
      </x:c>
      <x:c r="AB406" t="str">
        <x:v>Medium-High</x:v>
      </x:c>
      <x:c r="AC406" t="str"/>
      <x:c r="AD406" t="str">
        <x:v>Simulated pilot row for planning; replace with blinded ratings after generating actual clips.</x:v>
      </x:c>
    </x:row>
    <x:row r="407">
      <x:c r="A407" t="str">
        <x:v>S068-Kling-STR</x:v>
      </x:c>
      <x:c r="B407" t="str">
        <x:v>S068</x:v>
      </x:c>
      <x:c r="C407" t="str">
        <x:v>Painting</x:v>
      </x:c>
      <x:c r="D407" t="str">
        <x:v>finish</x:v>
      </x:c>
      <x:c r="E407" t="str">
        <x:v>feathering</x:v>
      </x:c>
      <x:c r="F407" t="n">
        <x:v>3</x:v>
      </x:c>
      <x:c r="G407" t="str">
        <x:v>feather the wet edge between two roller passes</x:v>
      </x:c>
      <x:c r="H407" t="str">
        <x:v>paint roller</x:v>
      </x:c>
      <x:c r="I407" t="str">
        <x:v>painted wall</x:v>
      </x:c>
      <x:c r="J407" t="str">
        <x:v>Kling v3.0 (Replicate)</x:v>
      </x:c>
      <x:c r="K407" t="str">
        <x:v>Structured Action-Object-Tool</x:v>
      </x:c>
      <x:c r="L407" t="str">
        <x:v>Action, tool, object, grip, contact point, start/end states.</x:v>
      </x:c>
      <x:c r="M407" t="str">
        <x:v>Close-up realistic instructional DIY video: feather the wet edge between two roller passes. Show paint roller working on painted wall. Hands visible, stable camera, no text overlay, neutral shop lighting. Action=feathering; tool=paint roller; object/material=painted wall; show tool-to-object contact; start state, motion, and finished state all visible.</x:v>
      </x:c>
      <x:c r="N407" s="14" t="n">
        <x:v>10</x:v>
      </x:c>
      <x:c r="O407" s="14" t="n">
        <x:v>100683</x:v>
      </x:c>
      <x:c r="P407" t="str">
        <x:v>R-E</x:v>
      </x:c>
      <x:c r="Q407" s="12" t="n">
        <x:v>3.68</x:v>
      </x:c>
      <x:c r="R407" s="12" t="n">
        <x:v>3.92</x:v>
      </x:c>
      <x:c r="S407" s="12" t="n">
        <x:v>3.8</x:v>
      </x:c>
      <x:c r="T407" s="12" t="n">
        <x:v>3.96</x:v>
      </x:c>
      <x:c r="U407" s="12" t="n">
        <x:v>3.59</x:v>
      </x:c>
      <x:c r="V407" s="12" t="n">
        <x:v>3.3</x:v>
      </x:c>
      <x:c r="W407" s="12" t="n">
        <x:f>ROUND((Q407*0.24)+(R407*0.22)+(S407*0.16)+(T407*0.18)+(U407*0.10)+(V407*0.10),2)</x:f>
        <x:v>3.76</x:v>
      </x:c>
      <x:c r="X407" t="str">
        <x:f>IF(W407&gt;=3.55,"Pass","Fail")</x:f>
        <x:v>Pass</x:v>
      </x:c>
      <x:c r="Y407" t="str">
        <x:v>wrong grip on tool</x:v>
      </x:c>
      <x:c r="Z407" t="str">
        <x:v>QA note: The clip has the right ingredients but not quite the right mechanics. It needs a tighter prompt about grip, contact, and the end position. On a small preview it might pass, but full-screen review exposes the issue. For this painting example, the main judgment is still whether the viewer can copy the motion.</x:v>
      </x:c>
      <x:c r="AA407" t="str">
        <x:v>Use sequential context only for continuity, not for adding previous/next steps into the frame.</x:v>
      </x:c>
      <x:c r="AB407" t="str">
        <x:v>Medium</x:v>
      </x:c>
      <x:c r="AC407" t="str"/>
      <x:c r="AD407" t="str">
        <x:v>Simulated pilot row for planning; replace with blinded ratings after generating actual clips.</x:v>
      </x:c>
    </x:row>
    <x:row r="408">
      <x:c r="A408" t="str">
        <x:v>S068-Pika-STR</x:v>
      </x:c>
      <x:c r="B408" t="str">
        <x:v>S068</x:v>
      </x:c>
      <x:c r="C408" t="str">
        <x:v>Painting</x:v>
      </x:c>
      <x:c r="D408" t="str">
        <x:v>finish</x:v>
      </x:c>
      <x:c r="E408" t="str">
        <x:v>feathering</x:v>
      </x:c>
      <x:c r="F408" t="n">
        <x:v>3</x:v>
      </x:c>
      <x:c r="G408" t="str">
        <x:v>feather the wet edge between two roller passes</x:v>
      </x:c>
      <x:c r="H408" t="str">
        <x:v>paint roller</x:v>
      </x:c>
      <x:c r="I408" t="str">
        <x:v>painted wall</x:v>
      </x:c>
      <x:c r="J408" t="str">
        <x:v>Pika 2.2</x:v>
      </x:c>
      <x:c r="K408" t="str">
        <x:v>Structured Action-Object-Tool</x:v>
      </x:c>
      <x:c r="L408" t="str">
        <x:v>Action, tool, object, grip, contact point, start/end states.</x:v>
      </x:c>
      <x:c r="M408" t="str">
        <x:v>Close-up realistic instructional DIY video: feather the wet edge between two roller passes. Show paint roller working on painted wall. Hands visible, stable camera, no text overlay, neutral shop lighting. Action=feathering; tool=paint roller; object/material=painted wall; show tool-to-object contact; start state, motion, and finished state all visible.</x:v>
      </x:c>
      <x:c r="N408" s="14" t="n">
        <x:v>5</x:v>
      </x:c>
      <x:c r="O408" s="14" t="n">
        <x:v>100684</x:v>
      </x:c>
      <x:c r="P408" t="str">
        <x:v>R-A</x:v>
      </x:c>
      <x:c r="Q408" s="12" t="n">
        <x:v>3.48</x:v>
      </x:c>
      <x:c r="R408" s="12" t="n">
        <x:v>4.08</x:v>
      </x:c>
      <x:c r="S408" s="12" t="n">
        <x:v>3.88</x:v>
      </x:c>
      <x:c r="T408" s="12" t="n">
        <x:v>3.75</x:v>
      </x:c>
      <x:c r="U408" s="12" t="n">
        <x:v>3.56</x:v>
      </x:c>
      <x:c r="V408" s="12" t="n">
        <x:v>3</x:v>
      </x:c>
      <x:c r="W408" s="12" t="n">
        <x:f>ROUND((Q408*0.24)+(R408*0.22)+(S408*0.16)+(T408*0.18)+(U408*0.10)+(V408*0.10),2)</x:f>
        <x:v>3.68</x:v>
      </x:c>
      <x:c r="X408" t="str">
        <x:f>IF(W408&gt;=3.55,"Pass","Fail")</x:f>
        <x:v>Pass</x:v>
      </x:c>
      <x:c r="Y408" t="str">
        <x:v>object morphs</x:v>
      </x:c>
      <x:c r="Z408" t="str">
        <x:v>QA note: Usable, but I would not show it without review. The paint roller is recognizable, yet the exact contact point is hard to see when the hand crosses the frame. This would be safer as a reference-aided run than a text-only run. For this painting example, the main judgment is still whether the viewer can copy the motion.</x:v>
      </x:c>
      <x:c r="AA408" t="str">
        <x:v>Add a one-sentence end-state requirement: viewer must see the completed feathering result for one full second.</x:v>
      </x:c>
      <x:c r="AB408" t="str">
        <x:v>Medium-High</x:v>
      </x:c>
      <x:c r="AC408" t="str"/>
      <x:c r="AD408" t="str">
        <x:v>Synthetic benchmark entry; generated clip URL should be filled after API run.</x:v>
      </x:c>
    </x:row>
    <x:row r="409">
      <x:c r="A409" t="str">
        <x:v>S068-Vidu-STR</x:v>
      </x:c>
      <x:c r="B409" t="str">
        <x:v>S068</x:v>
      </x:c>
      <x:c r="C409" t="str">
        <x:v>Painting</x:v>
      </x:c>
      <x:c r="D409" t="str">
        <x:v>finish</x:v>
      </x:c>
      <x:c r="E409" t="str">
        <x:v>feathering</x:v>
      </x:c>
      <x:c r="F409" t="n">
        <x:v>3</x:v>
      </x:c>
      <x:c r="G409" t="str">
        <x:v>feather the wet edge between two roller passes</x:v>
      </x:c>
      <x:c r="H409" t="str">
        <x:v>paint roller</x:v>
      </x:c>
      <x:c r="I409" t="str">
        <x:v>painted wall</x:v>
      </x:c>
      <x:c r="J409" t="str">
        <x:v>Vidu 2.0</x:v>
      </x:c>
      <x:c r="K409" t="str">
        <x:v>Structured Action-Object-Tool</x:v>
      </x:c>
      <x:c r="L409" t="str">
        <x:v>Action, tool, object, grip, contact point, start/end states.</x:v>
      </x:c>
      <x:c r="M409" t="str">
        <x:v>Close-up realistic instructional DIY video: feather the wet edge between two roller passes. Show paint roller working on painted wall. Hands visible, stable camera, no text overlay, neutral shop lighting. Action=feathering; tool=paint roller; object/material=painted wall; show tool-to-object contact; start state, motion, and finished state all visible.</x:v>
      </x:c>
      <x:c r="N409" s="14" t="n">
        <x:v>5</x:v>
      </x:c>
      <x:c r="O409" s="14" t="n">
        <x:v>100685</x:v>
      </x:c>
      <x:c r="P409" t="str">
        <x:v>R-A</x:v>
      </x:c>
      <x:c r="Q409" s="12" t="n">
        <x:v>3.38</x:v>
      </x:c>
      <x:c r="R409" s="12" t="n">
        <x:v>3.12</x:v>
      </x:c>
      <x:c r="S409" s="12" t="n">
        <x:v>3.19</x:v>
      </x:c>
      <x:c r="T409" s="12" t="n">
        <x:v>2.87</x:v>
      </x:c>
      <x:c r="U409" s="12" t="n">
        <x:v>3.57</x:v>
      </x:c>
      <x:c r="V409" s="12" t="n">
        <x:v>3.07</x:v>
      </x:c>
      <x:c r="W409" s="12" t="n">
        <x:f>ROUND((Q409*0.24)+(R409*0.22)+(S409*0.16)+(T409*0.18)+(U409*0.10)+(V409*0.10),2)</x:f>
        <x:v>3.19</x:v>
      </x:c>
      <x:c r="X409" t="str">
        <x:f>IF(W409&gt;=3.55,"Pass","Fail")</x:f>
        <x:v>Fail</x:v>
      </x:c>
      <x:c r="Y409" t="str">
        <x:v>object morphs</x:v>
      </x:c>
      <x:c r="Z409" t="str">
        <x:v>Rater note: Too much is being implied. The paint roller and painted wall are in the scene, but the motion does not demonstrate the actual repair step. The tool silhouette is acceptable; the mechanics are the weak part. For this painting example, the main judgment is still whether the viewer can copy the motion.</x:v>
      </x:c>
      <x:c r="AA409" t="str">
        <x:v>Specify the exact contact point and do not allow the hand to cover it.</x:v>
      </x:c>
      <x:c r="AB409" t="str">
        <x:v>Medium</x:v>
      </x:c>
      <x:c r="AC409" t="str"/>
      <x:c r="AD409" t="str">
        <x:v>Simulated pilot row for planning; replace with blinded ratings after generating actual clips.</x:v>
      </x:c>
    </x:row>
    <x:row r="410">
      <x:c r="A410" t="str">
        <x:v>S069-Veo-MET</x:v>
      </x:c>
      <x:c r="B410" t="str">
        <x:v>S069</x:v>
      </x:c>
      <x:c r="C410" t="str">
        <x:v>Painting</x:v>
      </x:c>
      <x:c r="D410" t="str">
        <x:v>cleanup</x:v>
      </x:c>
      <x:c r="E410" t="str">
        <x:v>removing</x:v>
      </x:c>
      <x:c r="F410" t="n">
        <x:v>2</x:v>
      </x:c>
      <x:c r="G410" t="str">
        <x:v>pull painter's tape back at a forty-five-degree angle</x:v>
      </x:c>
      <x:c r="H410" t="str">
        <x:v>painter's tape</x:v>
      </x:c>
      <x:c r="I410" t="str">
        <x:v>fresh painted trim edge</x:v>
      </x:c>
      <x:c r="J410" t="str">
        <x:v>Veo 3.1</x:v>
      </x:c>
      <x:c r="K410" t="str">
        <x:v>Metadata-Enriched</x:v>
      </x:c>
      <x:c r="L410" t="str">
        <x:v>Uses clipDescription, clipSummary, toolNames, suppliesNames, processTechniques, safetyEquipment.</x:v>
      </x:c>
      <x:c r="M410" t="str">
        <x:v>Close-up realistic instructional DIY video: pull painter's tape back at a forty-five-degree angle. Show painter's tape working on fresh painted trim edge. Hands visible, stable camera, no text overlay, neutral shop lighting. clipDescription='pull painter's tape back at a forty-five-degree angle'. clipSummary='one practical repair step'. toolNames='painter's tape'. suppliesNames='fresh painted trim edge'. processTechnique='removing'. Safety cue: use normal homeowner precautions and avoid risky shortcuts.</x:v>
      </x:c>
      <x:c r="N410" s="14" t="n">
        <x:v>8</x:v>
      </x:c>
      <x:c r="O410" s="14" t="n">
        <x:v>100690</x:v>
      </x:c>
      <x:c r="P410" t="str">
        <x:v>R-D</x:v>
      </x:c>
      <x:c r="Q410" s="12" t="n">
        <x:v>4.12</x:v>
      </x:c>
      <x:c r="R410" s="12" t="n">
        <x:v>4.47</x:v>
      </x:c>
      <x:c r="S410" s="12" t="n">
        <x:v>4.25</x:v>
      </x:c>
      <x:c r="T410" s="12" t="n">
        <x:v>4.1</x:v>
      </x:c>
      <x:c r="U410" s="12" t="n">
        <x:v>4.29</x:v>
      </x:c>
      <x:c r="V410" s="12" t="n">
        <x:v>4.52</x:v>
      </x:c>
      <x:c r="W410" s="12" t="n">
        <x:f>ROUND((Q410*0.24)+(R410*0.22)+(S410*0.16)+(T410*0.18)+(U410*0.10)+(V410*0.10),2)</x:f>
        <x:v>4.27</x:v>
      </x:c>
      <x:c r="X410" t="str">
        <x:f>IF(W410&gt;=3.55,"Pass","Fail")</x:f>
        <x:v>Pass</x:v>
      </x:c>
      <x:c r="Y410" t="str">
        <x:v>none</x:v>
      </x:c>
      <x:c r="Z410" t="str">
        <x:v>Clip review: Best part is the pacing: it gives enough time to understand removing without turning into a beauty shot. Minor issue: slightly staged tool contact. The next prompt should slow the final second instead of adding more scene detail. For this painting example, the main judgment is still whether the viewer can copy the motion.</x:v>
      </x:c>
      <x:c r="AA410" t="str">
        <x:v>No immediate re-run; keep as candidate and verify with a second rater.</x:v>
      </x:c>
      <x:c r="AB410" t="str">
        <x:v>Medium-High</x:v>
      </x:c>
      <x:c r="AC410" t="str"/>
      <x:c r="AD410" t="str">
        <x:v>Simulated pilot row for planning; replace with blinded ratings after generating actual clips.</x:v>
      </x:c>
    </x:row>
    <x:row r="411">
      <x:c r="A411" t="str">
        <x:v>S069-Sora-MET</x:v>
      </x:c>
      <x:c r="B411" t="str">
        <x:v>S069</x:v>
      </x:c>
      <x:c r="C411" t="str">
        <x:v>Painting</x:v>
      </x:c>
      <x:c r="D411" t="str">
        <x:v>cleanup</x:v>
      </x:c>
      <x:c r="E411" t="str">
        <x:v>removing</x:v>
      </x:c>
      <x:c r="F411" t="n">
        <x:v>2</x:v>
      </x:c>
      <x:c r="G411" t="str">
        <x:v>pull painter's tape back at a forty-five-degree angle</x:v>
      </x:c>
      <x:c r="H411" t="str">
        <x:v>painter's tape</x:v>
      </x:c>
      <x:c r="I411" t="str">
        <x:v>fresh painted trim edge</x:v>
      </x:c>
      <x:c r="J411" t="str">
        <x:v>Sora 2 Pro</x:v>
      </x:c>
      <x:c r="K411" t="str">
        <x:v>Metadata-Enriched</x:v>
      </x:c>
      <x:c r="L411" t="str">
        <x:v>Uses clipDescription, clipSummary, toolNames, suppliesNames, processTechniques, safetyEquipment.</x:v>
      </x:c>
      <x:c r="M411" t="str">
        <x:v>Close-up realistic instructional DIY video: pull painter's tape back at a forty-five-degree angle. Show painter's tape working on fresh painted trim edge. Hands visible, stable camera, no text overlay, neutral shop lighting. clipDescription='pull painter's tape back at a forty-five-degree angle'. clipSummary='one practical repair step'. toolNames='painter's tape'. suppliesNames='fresh painted trim edge'. processTechnique='removing'. Safety cue: use normal homeowner precautions and avoid risky shortcuts.</x:v>
      </x:c>
      <x:c r="N411" s="14" t="n">
        <x:v>8</x:v>
      </x:c>
      <x:c r="O411" s="14" t="n">
        <x:v>100691</x:v>
      </x:c>
      <x:c r="P411" t="str">
        <x:v>R-C</x:v>
      </x:c>
      <x:c r="Q411" s="12" t="n">
        <x:v>3.99</x:v>
      </x:c>
      <x:c r="R411" s="12" t="n">
        <x:v>3.94</x:v>
      </x:c>
      <x:c r="S411" s="12" t="n">
        <x:v>4.42</x:v>
      </x:c>
      <x:c r="T411" s="12" t="n">
        <x:v>4.08</x:v>
      </x:c>
      <x:c r="U411" s="12" t="n">
        <x:v>4.16</x:v>
      </x:c>
      <x:c r="V411" s="12" t="n">
        <x:v>4.34</x:v>
      </x:c>
      <x:c r="W411" s="12" t="n">
        <x:f>ROUND((Q411*0.24)+(R411*0.22)+(S411*0.16)+(T411*0.18)+(U411*0.10)+(V411*0.10),2)</x:f>
        <x:v>4.12</x:v>
      </x:c>
      <x:c r="X411" t="str">
        <x:f>IF(W411&gt;=3.55,"Pass","Fail")</x:f>
        <x:v>Pass</x:v>
      </x:c>
      <x:c r="Y411" t="str">
        <x:v>endpoint not visible</x:v>
      </x:c>
      <x:c r="Z411" t="str">
        <x:v>Review note: The clip has the right ingredients but not quite the right mechanics. It needs a tighter prompt about grip, contact, and the end position. The prompt should prioritize hand path over cinematic lighting. For this painting example, the main judgment is still whether the viewer can copy the motion.</x:v>
      </x:c>
      <x:c r="AA411" t="str">
        <x:v>Add a one-sentence end-state requirement: viewer must see the completed removing result for one full second.</x:v>
      </x:c>
      <x:c r="AB411" t="str">
        <x:v>Medium</x:v>
      </x:c>
      <x:c r="AC411" t="str"/>
      <x:c r="AD411" t="str">
        <x:v>Mock rater record for experiment design; audit against real video outputs before publication.</x:v>
      </x:c>
    </x:row>
    <x:row r="412">
      <x:c r="A412" t="str">
        <x:v>S069-Runway-MET</x:v>
      </x:c>
      <x:c r="B412" t="str">
        <x:v>S069</x:v>
      </x:c>
      <x:c r="C412" t="str">
        <x:v>Painting</x:v>
      </x:c>
      <x:c r="D412" t="str">
        <x:v>cleanup</x:v>
      </x:c>
      <x:c r="E412" t="str">
        <x:v>removing</x:v>
      </x:c>
      <x:c r="F412" t="n">
        <x:v>2</x:v>
      </x:c>
      <x:c r="G412" t="str">
        <x:v>pull painter's tape back at a forty-five-degree angle</x:v>
      </x:c>
      <x:c r="H412" t="str">
        <x:v>painter's tape</x:v>
      </x:c>
      <x:c r="I412" t="str">
        <x:v>fresh painted trim edge</x:v>
      </x:c>
      <x:c r="J412" t="str">
        <x:v>Runway Gen-4.5</x:v>
      </x:c>
      <x:c r="K412" t="str">
        <x:v>Metadata-Enriched</x:v>
      </x:c>
      <x:c r="L412" t="str">
        <x:v>Uses clipDescription, clipSummary, toolNames, suppliesNames, processTechniques, safetyEquipment.</x:v>
      </x:c>
      <x:c r="M412" t="str">
        <x:v>Close-up realistic instructional DIY video: pull painter's tape back at a forty-five-degree angle. Show painter's tape working on fresh painted trim edge. Hands visible, stable camera, no text overlay, neutral shop lighting. clipDescription='pull painter's tape back at a forty-five-degree angle'. clipSummary='one practical repair step'. toolNames='painter's tape'. suppliesNames='fresh painted trim edge'. processTechnique='removing'. Safety cue: use normal homeowner precautions and avoid risky shortcuts.</x:v>
      </x:c>
      <x:c r="N412" s="14" t="n">
        <x:v>5</x:v>
      </x:c>
      <x:c r="O412" s="14" t="n">
        <x:v>100692</x:v>
      </x:c>
      <x:c r="P412" t="str">
        <x:v>R-C</x:v>
      </x:c>
      <x:c r="Q412" s="12" t="n">
        <x:v>3.77</x:v>
      </x:c>
      <x:c r="R412" s="12" t="n">
        <x:v>3.95</x:v>
      </x:c>
      <x:c r="S412" s="12" t="n">
        <x:v>4.37</x:v>
      </x:c>
      <x:c r="T412" s="12" t="n">
        <x:v>3.67</x:v>
      </x:c>
      <x:c r="U412" s="12" t="n">
        <x:v>4.17</x:v>
      </x:c>
      <x:c r="V412" s="12" t="n">
        <x:v>4.05</x:v>
      </x:c>
      <x:c r="W412" s="12" t="n">
        <x:f>ROUND((Q412*0.24)+(R412*0.22)+(S412*0.16)+(T412*0.18)+(U412*0.10)+(V412*0.10),2)</x:f>
        <x:v>3.96</x:v>
      </x:c>
      <x:c r="X412" t="str">
        <x:f>IF(W412&gt;=3.55,"Pass","Fail")</x:f>
        <x:v>Pass</x:v>
      </x:c>
      <x:c r="Y412" t="str">
        <x:v>tool pose a little soft</x:v>
      </x:c>
      <x:c r="Z412" t="str">
        <x:v>Human check: The clip has the right ingredients but not quite the right mechanics. It needs a tighter prompt about grip, contact, and the end position. This would be safer as a reference-aided run than a text-only run. For this painting example, the main judgment is still whether the viewer can copy the motion.</x:v>
      </x:c>
      <x:c r="AA412" t="str">
        <x:v>Add a one-sentence end-state requirement: viewer must see the completed removing result for one full second.</x:v>
      </x:c>
      <x:c r="AB412" t="str">
        <x:v>Medium-High</x:v>
      </x:c>
      <x:c r="AC412" t="str"/>
      <x:c r="AD412" t="str">
        <x:v>Simulated pilot row for planning; replace with blinded ratings after generating actual clips.</x:v>
      </x:c>
    </x:row>
    <x:row r="413">
      <x:c r="A413" t="str">
        <x:v>S069-Kling-MET</x:v>
      </x:c>
      <x:c r="B413" t="str">
        <x:v>S069</x:v>
      </x:c>
      <x:c r="C413" t="str">
        <x:v>Painting</x:v>
      </x:c>
      <x:c r="D413" t="str">
        <x:v>cleanup</x:v>
      </x:c>
      <x:c r="E413" t="str">
        <x:v>removing</x:v>
      </x:c>
      <x:c r="F413" t="n">
        <x:v>2</x:v>
      </x:c>
      <x:c r="G413" t="str">
        <x:v>pull painter's tape back at a forty-five-degree angle</x:v>
      </x:c>
      <x:c r="H413" t="str">
        <x:v>painter's tape</x:v>
      </x:c>
      <x:c r="I413" t="str">
        <x:v>fresh painted trim edge</x:v>
      </x:c>
      <x:c r="J413" t="str">
        <x:v>Kling v3.0 (Replicate)</x:v>
      </x:c>
      <x:c r="K413" t="str">
        <x:v>Metadata-Enriched</x:v>
      </x:c>
      <x:c r="L413" t="str">
        <x:v>Uses clipDescription, clipSummary, toolNames, suppliesNames, processTechniques, safetyEquipment.</x:v>
      </x:c>
      <x:c r="M413" t="str">
        <x:v>Close-up realistic instructional DIY video: pull painter's tape back at a forty-five-degree angle. Show painter's tape working on fresh painted trim edge. Hands visible, stable camera, no text overlay, neutral shop lighting. clipDescription='pull painter's tape back at a forty-five-degree angle'. clipSummary='one practical repair step'. toolNames='painter's tape'. suppliesNames='fresh painted trim edge'. processTechnique='removing'. Safety cue: use normal homeowner precautions and avoid risky shortcuts.</x:v>
      </x:c>
      <x:c r="N413" s="14" t="n">
        <x:v>10</x:v>
      </x:c>
      <x:c r="O413" s="14" t="n">
        <x:v>100693</x:v>
      </x:c>
      <x:c r="P413" t="str">
        <x:v>R-E</x:v>
      </x:c>
      <x:c r="Q413" s="12" t="n">
        <x:v>3.63</x:v>
      </x:c>
      <x:c r="R413" s="12" t="n">
        <x:v>4.11</x:v>
      </x:c>
      <x:c r="S413" s="12" t="n">
        <x:v>3.62</x:v>
      </x:c>
      <x:c r="T413" s="12" t="n">
        <x:v>4.11</x:v>
      </x:c>
      <x:c r="U413" s="12" t="n">
        <x:v>3.38</x:v>
      </x:c>
      <x:c r="V413" s="12" t="n">
        <x:v>3.72</x:v>
      </x:c>
      <x:c r="W413" s="12" t="n">
        <x:f>ROUND((Q413*0.24)+(R413*0.22)+(S413*0.16)+(T413*0.18)+(U413*0.10)+(V413*0.10),2)</x:f>
        <x:v>3.8</x:v>
      </x:c>
      <x:c r="X413" t="str">
        <x:f>IF(W413&gt;=3.55,"Pass","Fail")</x:f>
        <x:v>Pass</x:v>
      </x:c>
      <x:c r="Y413" t="str">
        <x:v>endpoint not visible</x:v>
      </x:c>
      <x:c r="Z413" t="str">
        <x:v>Rater note: The clip has the right ingredients but not quite the right mechanics. It needs a tighter prompt about grip, contact, and the end position. The issue is subtle visually, but it matters because the clip is supposed to teach the technique. For this painting example, the main judgment is still whether the viewer can copy the motion.</x:v>
      </x:c>
      <x:c r="AA413" t="str">
        <x:v>Specify the exact contact point and do not allow the hand to cover it.</x:v>
      </x:c>
      <x:c r="AB413" t="str">
        <x:v>High</x:v>
      </x:c>
      <x:c r="AC413" t="str"/>
      <x:c r="AD413" t="str">
        <x:v>Synthetic benchmark entry; generated clip URL should be filled after API run.</x:v>
      </x:c>
    </x:row>
    <x:row r="414">
      <x:c r="A414" t="str">
        <x:v>S069-Pika-MET</x:v>
      </x:c>
      <x:c r="B414" t="str">
        <x:v>S069</x:v>
      </x:c>
      <x:c r="C414" t="str">
        <x:v>Painting</x:v>
      </x:c>
      <x:c r="D414" t="str">
        <x:v>cleanup</x:v>
      </x:c>
      <x:c r="E414" t="str">
        <x:v>removing</x:v>
      </x:c>
      <x:c r="F414" t="n">
        <x:v>2</x:v>
      </x:c>
      <x:c r="G414" t="str">
        <x:v>pull painter's tape back at a forty-five-degree angle</x:v>
      </x:c>
      <x:c r="H414" t="str">
        <x:v>painter's tape</x:v>
      </x:c>
      <x:c r="I414" t="str">
        <x:v>fresh painted trim edge</x:v>
      </x:c>
      <x:c r="J414" t="str">
        <x:v>Pika 2.2</x:v>
      </x:c>
      <x:c r="K414" t="str">
        <x:v>Metadata-Enriched</x:v>
      </x:c>
      <x:c r="L414" t="str">
        <x:v>Uses clipDescription, clipSummary, toolNames, suppliesNames, processTechniques, safetyEquipment.</x:v>
      </x:c>
      <x:c r="M414" t="str">
        <x:v>Close-up realistic instructional DIY video: pull painter's tape back at a forty-five-degree angle. Show painter's tape working on fresh painted trim edge. Hands visible, stable camera, no text overlay, neutral shop lighting. clipDescription='pull painter's tape back at a forty-five-degree angle'. clipSummary='one practical repair step'. toolNames='painter's tape'. suppliesNames='fresh painted trim edge'. processTechnique='removing'. Safety cue: use normal homeowner precautions and avoid risky shortcuts.</x:v>
      </x:c>
      <x:c r="N414" s="14" t="n">
        <x:v>5</x:v>
      </x:c>
      <x:c r="O414" s="14" t="n">
        <x:v>100694</x:v>
      </x:c>
      <x:c r="P414" t="str">
        <x:v>R-B</x:v>
      </x:c>
      <x:c r="Q414" s="12" t="n">
        <x:v>3.86</x:v>
      </x:c>
      <x:c r="R414" s="12" t="n">
        <x:v>3.9</x:v>
      </x:c>
      <x:c r="S414" s="12" t="n">
        <x:v>3.9</x:v>
      </x:c>
      <x:c r="T414" s="12" t="n">
        <x:v>3.58</x:v>
      </x:c>
      <x:c r="U414" s="12" t="n">
        <x:v>3.72</x:v>
      </x:c>
      <x:c r="V414" s="12" t="n">
        <x:v>3.6</x:v>
      </x:c>
      <x:c r="W414" s="12" t="n">
        <x:f>ROUND((Q414*0.24)+(R414*0.22)+(S414*0.16)+(T414*0.18)+(U414*0.10)+(V414*0.10),2)</x:f>
        <x:v>3.78</x:v>
      </x:c>
      <x:c r="X414" t="str">
        <x:f>IF(W414&gt;=3.55,"Pass","Fail")</x:f>
        <x:v>Pass</x:v>
      </x:c>
      <x:c r="Y414" t="str">
        <x:v>tool pose a little soft</x:v>
      </x:c>
      <x:c r="Z414" t="str">
        <x:v>Clip review: Usable, but I would not show it without review. The painter's tape is recognizable, yet the exact contact point is hard to see when the hand crosses the frame. This reads better as a teaser than as an instructional clip. For this painting example, the main judgment is still whether the viewer can copy the motion.</x:v>
      </x:c>
      <x:c r="AA414" t="str">
        <x:v>Use sequential context only for continuity, not for adding previous/next steps into the frame.</x:v>
      </x:c>
      <x:c r="AB414" t="str">
        <x:v>Medium</x:v>
      </x:c>
      <x:c r="AC414" t="str"/>
      <x:c r="AD414" t="str">
        <x:v>Mock rater record for experiment design; audit against real video outputs before publication.</x:v>
      </x:c>
    </x:row>
    <x:row r="415">
      <x:c r="A415" t="str">
        <x:v>S069-Vidu-MET</x:v>
      </x:c>
      <x:c r="B415" t="str">
        <x:v>S069</x:v>
      </x:c>
      <x:c r="C415" t="str">
        <x:v>Painting</x:v>
      </x:c>
      <x:c r="D415" t="str">
        <x:v>cleanup</x:v>
      </x:c>
      <x:c r="E415" t="str">
        <x:v>removing</x:v>
      </x:c>
      <x:c r="F415" t="n">
        <x:v>2</x:v>
      </x:c>
      <x:c r="G415" t="str">
        <x:v>pull painter's tape back at a forty-five-degree angle</x:v>
      </x:c>
      <x:c r="H415" t="str">
        <x:v>painter's tape</x:v>
      </x:c>
      <x:c r="I415" t="str">
        <x:v>fresh painted trim edge</x:v>
      </x:c>
      <x:c r="J415" t="str">
        <x:v>Vidu 2.0</x:v>
      </x:c>
      <x:c r="K415" t="str">
        <x:v>Metadata-Enriched</x:v>
      </x:c>
      <x:c r="L415" t="str">
        <x:v>Uses clipDescription, clipSummary, toolNames, suppliesNames, processTechniques, safetyEquipment.</x:v>
      </x:c>
      <x:c r="M415" t="str">
        <x:v>Close-up realistic instructional DIY video: pull painter's tape back at a forty-five-degree angle. Show painter's tape working on fresh painted trim edge. Hands visible, stable camera, no text overlay, neutral shop lighting. clipDescription='pull painter's tape back at a forty-five-degree angle'. clipSummary='one practical repair step'. toolNames='painter's tape'. suppliesNames='fresh painted trim edge'. processTechnique='removing'. Safety cue: use normal homeowner precautions and avoid risky shortcuts.</x:v>
      </x:c>
      <x:c r="N415" s="14" t="n">
        <x:v>5</x:v>
      </x:c>
      <x:c r="O415" s="14" t="n">
        <x:v>100695</x:v>
      </x:c>
      <x:c r="P415" t="str">
        <x:v>R-E</x:v>
      </x:c>
      <x:c r="Q415" s="12" t="n">
        <x:v>3.52</x:v>
      </x:c>
      <x:c r="R415" s="12" t="n">
        <x:v>3.11</x:v>
      </x:c>
      <x:c r="S415" s="12" t="n">
        <x:v>3.69</x:v>
      </x:c>
      <x:c r="T415" s="12" t="n">
        <x:v>3.4</x:v>
      </x:c>
      <x:c r="U415" s="12" t="n">
        <x:v>3.74</x:v>
      </x:c>
      <x:c r="V415" s="12" t="n">
        <x:v>3.33</x:v>
      </x:c>
      <x:c r="W415" s="12" t="n">
        <x:f>ROUND((Q415*0.24)+(R415*0.22)+(S415*0.16)+(T415*0.18)+(U415*0.10)+(V415*0.10),2)</x:f>
        <x:v>3.44</x:v>
      </x:c>
      <x:c r="X415" t="str">
        <x:f>IF(W415&gt;=3.55,"Pass","Fail")</x:f>
        <x:v>Fail</x:v>
      </x:c>
      <x:c r="Y415" t="str">
        <x:v>thread direction unclear</x:v>
      </x:c>
      <x:c r="Z415" t="str">
        <x:v>Human check: This should fail the instructional bar. The model gestures toward the task, but the failure mode prevents a learner from trusting the technique: thread direction unclear. The clip needs a verifier pass before it can enter the training pool. For this painting example, the main judgment is still whether the viewer can copy the motion.</x:v>
      </x:c>
      <x:c r="AA415" t="str">
        <x:v>Ask for a static close-up and require the painter's tape to touch the fresh painted trim edge before any motion starts.</x:v>
      </x:c>
      <x:c r="AB415" t="str">
        <x:v>Medium-High</x:v>
      </x:c>
      <x:c r="AC415" t="str"/>
      <x:c r="AD415" t="str">
        <x:v>Synthetic benchmark entry; generated clip URL should be filled after API run.</x:v>
      </x:c>
    </x:row>
    <x:row r="416">
      <x:c r="A416" t="str">
        <x:v>S070-Veo-REF</x:v>
      </x:c>
      <x:c r="B416" t="str">
        <x:v>S070</x:v>
      </x:c>
      <x:c r="C416" t="str">
        <x:v>Painting</x:v>
      </x:c>
      <x:c r="D416" t="str">
        <x:v>repair</x:v>
      </x:c>
      <x:c r="E416" t="str">
        <x:v>patching</x:v>
      </x:c>
      <x:c r="F416" t="n">
        <x:v>3</x:v>
      </x:c>
      <x:c r="G416" t="str">
        <x:v>spread spackle over a nail hole with a putty knife</x:v>
      </x:c>
      <x:c r="H416" t="str">
        <x:v>putty knife</x:v>
      </x:c>
      <x:c r="I416" t="str">
        <x:v>spackle, nail hole</x:v>
      </x:c>
      <x:c r="J416" t="str">
        <x:v>Veo 3.1</x:v>
      </x:c>
      <x:c r="K416" t="str">
        <x:v>Reference-Guided</x:v>
      </x:c>
      <x:c r="L416" t="str">
        <x:v>Adds reference-tool/image cue and brand-agnostic visual constraints.</x:v>
      </x:c>
      <x:c r="M416" t="str">
        <x:v>Close-up realistic instructional DIY video: spread spackle over a nail hole with a putty knife. Show putty knife working on spackle, nail hole. Hands visible, stable camera, no text overlay, neutral shop lighting. Use a generic, brand-agnostic visual reference for the putty knife; preserve the tool shape and scale; the putty knife must remain in contact with spackle, nail hole during the key motion.</x:v>
      </x:c>
      <x:c r="N416" s="14" t="n">
        <x:v>8</x:v>
      </x:c>
      <x:c r="O416" s="14" t="n">
        <x:v>100700</x:v>
      </x:c>
      <x:c r="P416" t="str">
        <x:v>R-C</x:v>
      </x:c>
      <x:c r="Q416" s="12" t="n">
        <x:v>4.16</x:v>
      </x:c>
      <x:c r="R416" s="12" t="n">
        <x:v>4.16</x:v>
      </x:c>
      <x:c r="S416" s="12" t="n">
        <x:v>4.12</x:v>
      </x:c>
      <x:c r="T416" s="12" t="n">
        <x:v>4.07</x:v>
      </x:c>
      <x:c r="U416" s="12" t="n">
        <x:v>4.09</x:v>
      </x:c>
      <x:c r="V416" s="12" t="n">
        <x:v>4.61</x:v>
      </x:c>
      <x:c r="W416" s="12" t="n">
        <x:f>ROUND((Q416*0.24)+(R416*0.22)+(S416*0.16)+(T416*0.18)+(U416*0.10)+(V416*0.10),2)</x:f>
        <x:v>4.18</x:v>
      </x:c>
      <x:c r="X416" t="str">
        <x:f>IF(W416&gt;=3.55,"Pass","Fail")</x:f>
        <x:v>Pass</x:v>
      </x:c>
      <x:c r="Y416" t="str">
        <x:v>minor continuity jump</x:v>
      </x:c>
      <x:c r="Z416" t="str">
        <x:v>QA note: Good continuity from frame to frame. The putty knife makes visual contact with the workpiece and the motion does not feel invented. The next prompt should slow the final second instead of adding more scene detail. For this painting example, the main judgment is still whether the viewer can copy the motion.</x:v>
      </x:c>
      <x:c r="AA416" t="str">
        <x:v>Ask for a static close-up and require the putty knife to touch the spackle, nail hole before any motion starts.</x:v>
      </x:c>
      <x:c r="AB416" t="str">
        <x:v>Medium-High</x:v>
      </x:c>
      <x:c r="AC416" t="str"/>
      <x:c r="AD416" t="str">
        <x:v>Mock rater record for experiment design; audit against real video outputs before publication.</x:v>
      </x:c>
    </x:row>
    <x:row r="417">
      <x:c r="A417" t="str">
        <x:v>S070-Sora-REF</x:v>
      </x:c>
      <x:c r="B417" t="str">
        <x:v>S070</x:v>
      </x:c>
      <x:c r="C417" t="str">
        <x:v>Painting</x:v>
      </x:c>
      <x:c r="D417" t="str">
        <x:v>repair</x:v>
      </x:c>
      <x:c r="E417" t="str">
        <x:v>patching</x:v>
      </x:c>
      <x:c r="F417" t="n">
        <x:v>3</x:v>
      </x:c>
      <x:c r="G417" t="str">
        <x:v>spread spackle over a nail hole with a putty knife</x:v>
      </x:c>
      <x:c r="H417" t="str">
        <x:v>putty knife</x:v>
      </x:c>
      <x:c r="I417" t="str">
        <x:v>spackle, nail hole</x:v>
      </x:c>
      <x:c r="J417" t="str">
        <x:v>Sora 2 Pro</x:v>
      </x:c>
      <x:c r="K417" t="str">
        <x:v>Reference-Guided</x:v>
      </x:c>
      <x:c r="L417" t="str">
        <x:v>Adds reference-tool/image cue and brand-agnostic visual constraints.</x:v>
      </x:c>
      <x:c r="M417" t="str">
        <x:v>Close-up realistic instructional DIY video: spread spackle over a nail hole with a putty knife. Show putty knife working on spackle, nail hole. Hands visible, stable camera, no text overlay, neutral shop lighting. Use a generic, brand-agnostic visual reference for the putty knife; preserve the tool shape and scale; the putty knife must remain in contact with spackle, nail hole during the key motion.</x:v>
      </x:c>
      <x:c r="N417" s="14" t="n">
        <x:v>8</x:v>
      </x:c>
      <x:c r="O417" s="14" t="n">
        <x:v>100701</x:v>
      </x:c>
      <x:c r="P417" t="str">
        <x:v>R-B</x:v>
      </x:c>
      <x:c r="Q417" s="12" t="n">
        <x:v>4.02</x:v>
      </x:c>
      <x:c r="R417" s="12" t="n">
        <x:v>3.58</x:v>
      </x:c>
      <x:c r="S417" s="12" t="n">
        <x:v>4.29</x:v>
      </x:c>
      <x:c r="T417" s="12" t="n">
        <x:v>4.15</x:v>
      </x:c>
      <x:c r="U417" s="12" t="n">
        <x:v>3.59</x:v>
      </x:c>
      <x:c r="V417" s="12" t="n">
        <x:v>4.12</x:v>
      </x:c>
      <x:c r="W417" s="12" t="n">
        <x:f>ROUND((Q417*0.24)+(R417*0.22)+(S417*0.16)+(T417*0.18)+(U417*0.10)+(V417*0.10),2)</x:f>
        <x:v>3.96</x:v>
      </x:c>
      <x:c r="X417" t="str">
        <x:f>IF(W417&gt;=3.55,"Pass","Fail")</x:f>
        <x:v>Pass</x:v>
      </x:c>
      <x:c r="Y417" t="str">
        <x:v>none</x:v>
      </x:c>
      <x:c r="Z417" t="str">
        <x:v>QA note: Usable, but I would not show it without review. The putty knife is recognizable, yet the exact contact point is hard to see when the hand crosses the frame. This reads better as a teaser than as an instructional clip. For this painting example, the main judgment is still whether the viewer can copy the motion.</x:v>
      </x:c>
      <x:c r="AA417" t="str">
        <x:v>Ask for a static close-up and require the putty knife to touch the spackle, nail hole before any motion starts.</x:v>
      </x:c>
      <x:c r="AB417" t="str">
        <x:v>High</x:v>
      </x:c>
      <x:c r="AC417" t="str"/>
      <x:c r="AD417" t="str">
        <x:v>Simulated pilot row for planning; replace with blinded ratings after generating actual clips.</x:v>
      </x:c>
    </x:row>
    <x:row r="418">
      <x:c r="A418" t="str">
        <x:v>S070-Runway-REF</x:v>
      </x:c>
      <x:c r="B418" t="str">
        <x:v>S070</x:v>
      </x:c>
      <x:c r="C418" t="str">
        <x:v>Painting</x:v>
      </x:c>
      <x:c r="D418" t="str">
        <x:v>repair</x:v>
      </x:c>
      <x:c r="E418" t="str">
        <x:v>patching</x:v>
      </x:c>
      <x:c r="F418" t="n">
        <x:v>3</x:v>
      </x:c>
      <x:c r="G418" t="str">
        <x:v>spread spackle over a nail hole with a putty knife</x:v>
      </x:c>
      <x:c r="H418" t="str">
        <x:v>putty knife</x:v>
      </x:c>
      <x:c r="I418" t="str">
        <x:v>spackle, nail hole</x:v>
      </x:c>
      <x:c r="J418" t="str">
        <x:v>Runway Gen-4.5</x:v>
      </x:c>
      <x:c r="K418" t="str">
        <x:v>Reference-Guided</x:v>
      </x:c>
      <x:c r="L418" t="str">
        <x:v>Adds reference-tool/image cue and brand-agnostic visual constraints.</x:v>
      </x:c>
      <x:c r="M418" t="str">
        <x:v>Close-up realistic instructional DIY video: spread spackle over a nail hole with a putty knife. Show putty knife working on spackle, nail hole. Hands visible, stable camera, no text overlay, neutral shop lighting. Use a generic, brand-agnostic visual reference for the putty knife; preserve the tool shape and scale; the putty knife must remain in contact with spackle, nail hole during the key motion.</x:v>
      </x:c>
      <x:c r="N418" s="14" t="n">
        <x:v>5</x:v>
      </x:c>
      <x:c r="O418" s="14" t="n">
        <x:v>100702</x:v>
      </x:c>
      <x:c r="P418" t="str">
        <x:v>R-D</x:v>
      </x:c>
      <x:c r="Q418" s="12" t="n">
        <x:v>4.61</x:v>
      </x:c>
      <x:c r="R418" s="12" t="n">
        <x:v>3.74</x:v>
      </x:c>
      <x:c r="S418" s="12" t="n">
        <x:v>4.17</x:v>
      </x:c>
      <x:c r="T418" s="12" t="n">
        <x:v>3.9</x:v>
      </x:c>
      <x:c r="U418" s="12" t="n">
        <x:v>3.28</x:v>
      </x:c>
      <x:c r="V418" s="12" t="n">
        <x:v>4.49</x:v>
      </x:c>
      <x:c r="W418" s="12" t="n">
        <x:f>ROUND((Q418*0.24)+(R418*0.22)+(S418*0.16)+(T418*0.18)+(U418*0.10)+(V418*0.10),2)</x:f>
        <x:v>4.08</x:v>
      </x:c>
      <x:c r="X418" t="str">
        <x:f>IF(W418&gt;=3.55,"Pass","Fail")</x:f>
        <x:v>Pass</x:v>
      </x:c>
      <x:c r="Y418" t="str">
        <x:v>minor continuity jump</x:v>
      </x:c>
      <x:c r="Z418" t="str">
        <x:v>Clip review: Usable, but I would not show it without review. The putty knife is recognizable, yet the exact contact point is hard to see when the hand crosses the frame. I marked it down for the key moment rather than the opening setup. For this painting example, the main judgment is still whether the viewer can copy the motion.</x:v>
      </x:c>
      <x:c r="AA418" t="str">
        <x:v>Ask for a static close-up and require the putty knife to touch the spackle, nail hole before any motion starts.</x:v>
      </x:c>
      <x:c r="AB418" t="str">
        <x:v>Medium</x:v>
      </x:c>
      <x:c r="AC418" t="str"/>
      <x:c r="AD418" t="str">
        <x:v>Synthetic benchmark entry; generated clip URL should be filled after API run.</x:v>
      </x:c>
    </x:row>
    <x:row r="419">
      <x:c r="A419" t="str">
        <x:v>S070-Kling-REF</x:v>
      </x:c>
      <x:c r="B419" t="str">
        <x:v>S070</x:v>
      </x:c>
      <x:c r="C419" t="str">
        <x:v>Painting</x:v>
      </x:c>
      <x:c r="D419" t="str">
        <x:v>repair</x:v>
      </x:c>
      <x:c r="E419" t="str">
        <x:v>patching</x:v>
      </x:c>
      <x:c r="F419" t="n">
        <x:v>3</x:v>
      </x:c>
      <x:c r="G419" t="str">
        <x:v>spread spackle over a nail hole with a putty knife</x:v>
      </x:c>
      <x:c r="H419" t="str">
        <x:v>putty knife</x:v>
      </x:c>
      <x:c r="I419" t="str">
        <x:v>spackle, nail hole</x:v>
      </x:c>
      <x:c r="J419" t="str">
        <x:v>Kling v3.0 (Replicate)</x:v>
      </x:c>
      <x:c r="K419" t="str">
        <x:v>Reference-Guided</x:v>
      </x:c>
      <x:c r="L419" t="str">
        <x:v>Adds reference-tool/image cue and brand-agnostic visual constraints.</x:v>
      </x:c>
      <x:c r="M419" t="str">
        <x:v>Close-up realistic instructional DIY video: spread spackle over a nail hole with a putty knife. Show putty knife working on spackle, nail hole. Hands visible, stable camera, no text overlay, neutral shop lighting. Use a generic, brand-agnostic visual reference for the putty knife; preserve the tool shape and scale; the putty knife must remain in contact with spackle, nail hole during the key motion.</x:v>
      </x:c>
      <x:c r="N419" s="14" t="n">
        <x:v>10</x:v>
      </x:c>
      <x:c r="O419" s="14" t="n">
        <x:v>100703</x:v>
      </x:c>
      <x:c r="P419" t="str">
        <x:v>R-D</x:v>
      </x:c>
      <x:c r="Q419" s="12" t="n">
        <x:v>3.59</x:v>
      </x:c>
      <x:c r="R419" s="12" t="n">
        <x:v>4.01</x:v>
      </x:c>
      <x:c r="S419" s="12" t="n">
        <x:v>4.1</x:v>
      </x:c>
      <x:c r="T419" s="12" t="n">
        <x:v>3.84</x:v>
      </x:c>
      <x:c r="U419" s="12" t="n">
        <x:v>3.88</x:v>
      </x:c>
      <x:c r="V419" s="12" t="n">
        <x:v>4.26</x:v>
      </x:c>
      <x:c r="W419" s="12" t="n">
        <x:f>ROUND((Q419*0.24)+(R419*0.22)+(S419*0.16)+(T419*0.18)+(U419*0.10)+(V419*0.10),2)</x:f>
        <x:v>3.91</x:v>
      </x:c>
      <x:c r="X419" t="str">
        <x:f>IF(W419&gt;=3.55,"Pass","Fail")</x:f>
        <x:v>Pass</x:v>
      </x:c>
      <x:c r="Y419" t="str">
        <x:v>minor continuity jump</x:v>
      </x:c>
      <x:c r="Z419" t="str">
        <x:v>Clip review: I would keep this as a rough candidate. It communicates the step, although the failure mode makes it weaker than a real sourced clip: minor continuity jump. I would keep the same camera angle but ask for a tighter view of the contact point. For this painting example, the main judgment is still whether the viewer can copy the motion.</x:v>
      </x:c>
      <x:c r="AA419" t="str">
        <x:v>Break the action into start, contact, movement, and finish; ban extra tools and hand morphing.</x:v>
      </x:c>
      <x:c r="AB419" t="str">
        <x:v>High</x:v>
      </x:c>
      <x:c r="AC419" t="str"/>
      <x:c r="AD419" t="str">
        <x:v>Mock rater record for experiment design; audit against real video outputs before publication.</x:v>
      </x:c>
    </x:row>
    <x:row r="420">
      <x:c r="A420" t="str">
        <x:v>S070-Pika-REF</x:v>
      </x:c>
      <x:c r="B420" t="str">
        <x:v>S070</x:v>
      </x:c>
      <x:c r="C420" t="str">
        <x:v>Painting</x:v>
      </x:c>
      <x:c r="D420" t="str">
        <x:v>repair</x:v>
      </x:c>
      <x:c r="E420" t="str">
        <x:v>patching</x:v>
      </x:c>
      <x:c r="F420" t="n">
        <x:v>3</x:v>
      </x:c>
      <x:c r="G420" t="str">
        <x:v>spread spackle over a nail hole with a putty knife</x:v>
      </x:c>
      <x:c r="H420" t="str">
        <x:v>putty knife</x:v>
      </x:c>
      <x:c r="I420" t="str">
        <x:v>spackle, nail hole</x:v>
      </x:c>
      <x:c r="J420" t="str">
        <x:v>Pika 2.2</x:v>
      </x:c>
      <x:c r="K420" t="str">
        <x:v>Reference-Guided</x:v>
      </x:c>
      <x:c r="L420" t="str">
        <x:v>Adds reference-tool/image cue and brand-agnostic visual constraints.</x:v>
      </x:c>
      <x:c r="M420" t="str">
        <x:v>Close-up realistic instructional DIY video: spread spackle over a nail hole with a putty knife. Show putty knife working on spackle, nail hole. Hands visible, stable camera, no text overlay, neutral shop lighting. Use a generic, brand-agnostic visual reference for the putty knife; preserve the tool shape and scale; the putty knife must remain in contact with spackle, nail hole during the key motion.</x:v>
      </x:c>
      <x:c r="N420" s="14" t="n">
        <x:v>5</x:v>
      </x:c>
      <x:c r="O420" s="14" t="n">
        <x:v>100704</x:v>
      </x:c>
      <x:c r="P420" t="str">
        <x:v>R-C</x:v>
      </x:c>
      <x:c r="Q420" s="12" t="n">
        <x:v>3.27</x:v>
      </x:c>
      <x:c r="R420" s="12" t="n">
        <x:v>3.69</x:v>
      </x:c>
      <x:c r="S420" s="12" t="n">
        <x:v>3.72</x:v>
      </x:c>
      <x:c r="T420" s="12" t="n">
        <x:v>3.38</x:v>
      </x:c>
      <x:c r="U420" s="12" t="n">
        <x:v>3.86</x:v>
      </x:c>
      <x:c r="V420" s="12" t="n">
        <x:v>3.61</x:v>
      </x:c>
      <x:c r="W420" s="12" t="n">
        <x:f>ROUND((Q420*0.24)+(R420*0.22)+(S420*0.16)+(T420*0.18)+(U420*0.10)+(V420*0.10),2)</x:f>
        <x:v>3.55</x:v>
      </x:c>
      <x:c r="X420" t="str">
        <x:f>IF(W420&gt;=3.55,"Pass","Fail")</x:f>
        <x:v>Pass</x:v>
      </x:c>
      <x:c r="Y420" t="str">
        <x:v>thread direction unclear</x:v>
      </x:c>
      <x:c r="Z420" t="str">
        <x:v>Clip review: I would keep this as a rough candidate. It communicates the step, although the failure mode makes it weaker than a real sourced clip: thread direction unclear. The most important fix is to show the before-and-after state without a cut. For this painting example, the main judgment is still whether the viewer can copy the motion.</x:v>
      </x:c>
      <x:c r="AA420" t="str">
        <x:v>Move safety language earlier in the prompt and remove cinematic camera instructions.</x:v>
      </x:c>
      <x:c r="AB420" t="str">
        <x:v>Medium-High</x:v>
      </x:c>
      <x:c r="AC420" t="str"/>
      <x:c r="AD420" t="str">
        <x:v>Simulated pilot row for planning; replace with blinded ratings after generating actual clips.</x:v>
      </x:c>
    </x:row>
    <x:row r="421">
      <x:c r="A421" t="str">
        <x:v>S070-Vidu-REF</x:v>
      </x:c>
      <x:c r="B421" t="str">
        <x:v>S070</x:v>
      </x:c>
      <x:c r="C421" t="str">
        <x:v>Painting</x:v>
      </x:c>
      <x:c r="D421" t="str">
        <x:v>repair</x:v>
      </x:c>
      <x:c r="E421" t="str">
        <x:v>patching</x:v>
      </x:c>
      <x:c r="F421" t="n">
        <x:v>3</x:v>
      </x:c>
      <x:c r="G421" t="str">
        <x:v>spread spackle over a nail hole with a putty knife</x:v>
      </x:c>
      <x:c r="H421" t="str">
        <x:v>putty knife</x:v>
      </x:c>
      <x:c r="I421" t="str">
        <x:v>spackle, nail hole</x:v>
      </x:c>
      <x:c r="J421" t="str">
        <x:v>Vidu 2.0</x:v>
      </x:c>
      <x:c r="K421" t="str">
        <x:v>Reference-Guided</x:v>
      </x:c>
      <x:c r="L421" t="str">
        <x:v>Adds reference-tool/image cue and brand-agnostic visual constraints.</x:v>
      </x:c>
      <x:c r="M421" t="str">
        <x:v>Close-up realistic instructional DIY video: spread spackle over a nail hole with a putty knife. Show putty knife working on spackle, nail hole. Hands visible, stable camera, no text overlay, neutral shop lighting. Use a generic, brand-agnostic visual reference for the putty knife; preserve the tool shape and scale; the putty knife must remain in contact with spackle, nail hole during the key motion.</x:v>
      </x:c>
      <x:c r="N421" s="14" t="n">
        <x:v>5</x:v>
      </x:c>
      <x:c r="O421" s="14" t="n">
        <x:v>100705</x:v>
      </x:c>
      <x:c r="P421" t="str">
        <x:v>R-A</x:v>
      </x:c>
      <x:c r="Q421" s="12" t="n">
        <x:v>3.73</x:v>
      </x:c>
      <x:c r="R421" s="12" t="n">
        <x:v>3.78</x:v>
      </x:c>
      <x:c r="S421" s="12" t="n">
        <x:v>3.3</x:v>
      </x:c>
      <x:c r="T421" s="12" t="n">
        <x:v>3.62</x:v>
      </x:c>
      <x:c r="U421" s="12" t="n">
        <x:v>3.32</x:v>
      </x:c>
      <x:c r="V421" s="12" t="n">
        <x:v>4.09</x:v>
      </x:c>
      <x:c r="W421" s="12" t="n">
        <x:f>ROUND((Q421*0.24)+(R421*0.22)+(S421*0.16)+(T421*0.18)+(U421*0.10)+(V421*0.10),2)</x:f>
        <x:v>3.65</x:v>
      </x:c>
      <x:c r="X421" t="str">
        <x:f>IF(W421&gt;=3.55,"Pass","Fail")</x:f>
        <x:v>Pass</x:v>
      </x:c>
      <x:c r="Y421" t="str">
        <x:v>action starts too late</x:v>
      </x:c>
      <x:c r="Z421" t="str">
        <x:v>Review note: The intention is clear, especially if you already know the step. A novice might miss the key detail because this issue appears right where the action should be most explicit: action starts too late. The clip needs a verifier pass before it can enter the training pool. For this painting example, the main judgment is still whether the viewer can copy the motion.</x:v>
      </x:c>
      <x:c r="AA421" t="str">
        <x:v>Ask for a static close-up and require the putty knife to touch the spackle, nail hole before any motion starts.</x:v>
      </x:c>
      <x:c r="AB421" t="str">
        <x:v>Medium</x:v>
      </x:c>
      <x:c r="AC421" t="str"/>
      <x:c r="AD421" t="str">
        <x:v>Mock rater record for experiment design; audit against real video outputs before publication.</x:v>
      </x:c>
    </x:row>
    <x:row r="422">
      <x:c r="A422" t="str">
        <x:v>S071-Veo-SEQ</x:v>
      </x:c>
      <x:c r="B422" t="str">
        <x:v>S071</x:v>
      </x:c>
      <x:c r="C422" t="str">
        <x:v>Painting</x:v>
      </x:c>
      <x:c r="D422" t="str">
        <x:v>surface prep</x:v>
      </x:c>
      <x:c r="E422" t="str">
        <x:v>scraping</x:v>
      </x:c>
      <x:c r="F422" t="n">
        <x:v>3</x:v>
      </x:c>
      <x:c r="G422" t="str">
        <x:v>scrape loose paint from a window sill</x:v>
      </x:c>
      <x:c r="H422" t="str">
        <x:v>paint scraper</x:v>
      </x:c>
      <x:c r="I422" t="str">
        <x:v>window sill</x:v>
      </x:c>
      <x:c r="J422" t="str">
        <x:v>Veo 3.1</x:v>
      </x:c>
      <x:c r="K422" t="str">
        <x:v>Sequential Context</x:v>
      </x:c>
      <x:c r="L422" t="str">
        <x:v>Provides previous and next step for continuity without asking for them to appear.</x:v>
      </x:c>
      <x:c r="M422" t="str">
        <x:v>Close-up realistic instructional DIY video: scrape loose paint from a window sill. Show paint scraper working on window sill. Hands visible, stable camera, no text overlay, neutral shop lighting. This is the middle clip in a sequence. Previous step has already prepared the work area; next step will verify the result. Keep the same workpiece, camera distance, and hand orientation.</x:v>
      </x:c>
      <x:c r="N422" s="14" t="n">
        <x:v>8</x:v>
      </x:c>
      <x:c r="O422" s="14" t="n">
        <x:v>100710</x:v>
      </x:c>
      <x:c r="P422" t="str">
        <x:v>R-E</x:v>
      </x:c>
      <x:c r="Q422" s="12" t="n">
        <x:v>3.73</x:v>
      </x:c>
      <x:c r="R422" s="12" t="n">
        <x:v>4.7</x:v>
      </x:c>
      <x:c r="S422" s="12" t="n">
        <x:v>3.97</x:v>
      </x:c>
      <x:c r="T422" s="12" t="n">
        <x:v>3.97</x:v>
      </x:c>
      <x:c r="U422" s="12" t="n">
        <x:v>5</x:v>
      </x:c>
      <x:c r="V422" s="12" t="n">
        <x:v>4.47</x:v>
      </x:c>
      <x:c r="W422" s="12" t="n">
        <x:f>ROUND((Q422*0.24)+(R422*0.22)+(S422*0.16)+(T422*0.18)+(U422*0.10)+(V422*0.10),2)</x:f>
        <x:v>4.23</x:v>
      </x:c>
      <x:c r="X422" t="str">
        <x:f>IF(W422&gt;=3.55,"Pass","Fail")</x:f>
        <x:v>Pass</x:v>
      </x:c>
      <x:c r="Y422" t="str">
        <x:v>none</x:v>
      </x:c>
      <x:c r="Z422" t="str">
        <x:v>QA note: The clip feels like a usable shop-demo take. I can see the hand position and the window sill; it just needs a slightly longer hold on the final state. The clip needs a verifier pass before it can enter the training pool. Continuity is useful here, but it cannot replace showing the actual contact point.</x:v>
      </x:c>
      <x:c r="AA422" t="str">
        <x:v>Break the action into start, contact, movement, and finish; ban extra tools and hand morphing.</x:v>
      </x:c>
      <x:c r="AB422" t="str">
        <x:v>High</x:v>
      </x:c>
      <x:c r="AC422" t="str"/>
      <x:c r="AD422" t="str">
        <x:v>Mock rater record for experiment design; audit against real video outputs before publication.</x:v>
      </x:c>
    </x:row>
    <x:row r="423">
      <x:c r="A423" t="str">
        <x:v>S071-Sora-SEQ</x:v>
      </x:c>
      <x:c r="B423" t="str">
        <x:v>S071</x:v>
      </x:c>
      <x:c r="C423" t="str">
        <x:v>Painting</x:v>
      </x:c>
      <x:c r="D423" t="str">
        <x:v>surface prep</x:v>
      </x:c>
      <x:c r="E423" t="str">
        <x:v>scraping</x:v>
      </x:c>
      <x:c r="F423" t="n">
        <x:v>3</x:v>
      </x:c>
      <x:c r="G423" t="str">
        <x:v>scrape loose paint from a window sill</x:v>
      </x:c>
      <x:c r="H423" t="str">
        <x:v>paint scraper</x:v>
      </x:c>
      <x:c r="I423" t="str">
        <x:v>window sill</x:v>
      </x:c>
      <x:c r="J423" t="str">
        <x:v>Sora 2 Pro</x:v>
      </x:c>
      <x:c r="K423" t="str">
        <x:v>Sequential Context</x:v>
      </x:c>
      <x:c r="L423" t="str">
        <x:v>Provides previous and next step for continuity without asking for them to appear.</x:v>
      </x:c>
      <x:c r="M423" t="str">
        <x:v>Close-up realistic instructional DIY video: scrape loose paint from a window sill. Show paint scraper working on window sill. Hands visible, stable camera, no text overlay, neutral shop lighting. This is the middle clip in a sequence. Previous step has already prepared the work area; next step will verify the result. Keep the same workpiece, camera distance, and hand orientation.</x:v>
      </x:c>
      <x:c r="N423" s="14" t="n">
        <x:v>8</x:v>
      </x:c>
      <x:c r="O423" s="14" t="n">
        <x:v>100711</x:v>
      </x:c>
      <x:c r="P423" t="str">
        <x:v>R-D</x:v>
      </x:c>
      <x:c r="Q423" s="12" t="n">
        <x:v>3.84</x:v>
      </x:c>
      <x:c r="R423" s="12" t="n">
        <x:v>4.14</x:v>
      </x:c>
      <x:c r="S423" s="12" t="n">
        <x:v>3.72</x:v>
      </x:c>
      <x:c r="T423" s="12" t="n">
        <x:v>3.58</x:v>
      </x:c>
      <x:c r="U423" s="12" t="n">
        <x:v>4.16</x:v>
      </x:c>
      <x:c r="V423" s="12" t="n">
        <x:v>4.36</x:v>
      </x:c>
      <x:c r="W423" s="12" t="n">
        <x:f>ROUND((Q423*0.24)+(R423*0.22)+(S423*0.16)+(T423*0.18)+(U423*0.10)+(V423*0.10),2)</x:f>
        <x:v>3.92</x:v>
      </x:c>
      <x:c r="X423" t="str">
        <x:f>IF(W423&gt;=3.55,"Pass","Fail")</x:f>
        <x:v>Pass</x:v>
      </x:c>
      <x:c r="Y423" t="str">
        <x:v>minor continuity jump</x:v>
      </x:c>
      <x:c r="Z423" t="str">
        <x:v>QA note: The clip has the right ingredients but not quite the right mechanics. It needs a tighter prompt about grip, contact, and the end position. The mistake appears late, so a simple thumbnail review would probably miss it. Continuity is useful here, but it cannot replace showing the actual contact point.</x:v>
      </x:c>
      <x:c r="AA423" t="str">
        <x:v>Move safety language earlier in the prompt and remove cinematic camera instructions.</x:v>
      </x:c>
      <x:c r="AB423" t="str">
        <x:v>High</x:v>
      </x:c>
      <x:c r="AC423" t="str"/>
      <x:c r="AD423" t="str">
        <x:v>Synthetic benchmark entry; generated clip URL should be filled after API run.</x:v>
      </x:c>
    </x:row>
    <x:row r="424">
      <x:c r="A424" t="str">
        <x:v>S071-Runway-SEQ</x:v>
      </x:c>
      <x:c r="B424" t="str">
        <x:v>S071</x:v>
      </x:c>
      <x:c r="C424" t="str">
        <x:v>Painting</x:v>
      </x:c>
      <x:c r="D424" t="str">
        <x:v>surface prep</x:v>
      </x:c>
      <x:c r="E424" t="str">
        <x:v>scraping</x:v>
      </x:c>
      <x:c r="F424" t="n">
        <x:v>3</x:v>
      </x:c>
      <x:c r="G424" t="str">
        <x:v>scrape loose paint from a window sill</x:v>
      </x:c>
      <x:c r="H424" t="str">
        <x:v>paint scraper</x:v>
      </x:c>
      <x:c r="I424" t="str">
        <x:v>window sill</x:v>
      </x:c>
      <x:c r="J424" t="str">
        <x:v>Runway Gen-4.5</x:v>
      </x:c>
      <x:c r="K424" t="str">
        <x:v>Sequential Context</x:v>
      </x:c>
      <x:c r="L424" t="str">
        <x:v>Provides previous and next step for continuity without asking for them to appear.</x:v>
      </x:c>
      <x:c r="M424" t="str">
        <x:v>Close-up realistic instructional DIY video: scrape loose paint from a window sill. Show paint scraper working on window sill. Hands visible, stable camera, no text overlay, neutral shop lighting. This is the middle clip in a sequence. Previous step has already prepared the work area; next step will verify the result. Keep the same workpiece, camera distance, and hand orientation.</x:v>
      </x:c>
      <x:c r="N424" s="14" t="n">
        <x:v>5</x:v>
      </x:c>
      <x:c r="O424" s="14" t="n">
        <x:v>100712</x:v>
      </x:c>
      <x:c r="P424" t="str">
        <x:v>R-D</x:v>
      </x:c>
      <x:c r="Q424" s="12" t="n">
        <x:v>4.03</x:v>
      </x:c>
      <x:c r="R424" s="12" t="n">
        <x:v>3.27</x:v>
      </x:c>
      <x:c r="S424" s="12" t="n">
        <x:v>4.26</x:v>
      </x:c>
      <x:c r="T424" s="12" t="n">
        <x:v>3.62</x:v>
      </x:c>
      <x:c r="U424" s="12" t="n">
        <x:v>3.71</x:v>
      </x:c>
      <x:c r="V424" s="12" t="n">
        <x:v>3.9</x:v>
      </x:c>
      <x:c r="W424" s="12" t="n">
        <x:f>ROUND((Q424*0.24)+(R424*0.22)+(S424*0.16)+(T424*0.18)+(U424*0.10)+(V424*0.10),2)</x:f>
        <x:v>3.78</x:v>
      </x:c>
      <x:c r="X424" t="str">
        <x:f>IF(W424&gt;=3.55,"Pass","Fail")</x:f>
        <x:v>Pass</x:v>
      </x:c>
      <x:c r="Y424" t="str">
        <x:v>none</x:v>
      </x:c>
      <x:c r="Z424" t="str">
        <x:v>Rater note: Looks plausible at first glance. On a second pass, the window sill shifts slightly and the model seems to infer the outcome rather than show the full scraping. The next prompt should slow the final second instead of adding more scene detail. Continuity is useful here, but it cannot replace showing the actual contact point.</x:v>
      </x:c>
      <x:c r="AA424" t="str">
        <x:v>Break the action into start, contact, movement, and finish; ban extra tools and hand morphing.</x:v>
      </x:c>
      <x:c r="AB424" t="str">
        <x:v>High</x:v>
      </x:c>
      <x:c r="AC424" t="str"/>
      <x:c r="AD424" t="str">
        <x:v>Simulated pilot row for planning; replace with blinded ratings after generating actual clips.</x:v>
      </x:c>
    </x:row>
    <x:row r="425">
      <x:c r="A425" t="str">
        <x:v>S071-Kling-SEQ</x:v>
      </x:c>
      <x:c r="B425" t="str">
        <x:v>S071</x:v>
      </x:c>
      <x:c r="C425" t="str">
        <x:v>Painting</x:v>
      </x:c>
      <x:c r="D425" t="str">
        <x:v>surface prep</x:v>
      </x:c>
      <x:c r="E425" t="str">
        <x:v>scraping</x:v>
      </x:c>
      <x:c r="F425" t="n">
        <x:v>3</x:v>
      </x:c>
      <x:c r="G425" t="str">
        <x:v>scrape loose paint from a window sill</x:v>
      </x:c>
      <x:c r="H425" t="str">
        <x:v>paint scraper</x:v>
      </x:c>
      <x:c r="I425" t="str">
        <x:v>window sill</x:v>
      </x:c>
      <x:c r="J425" t="str">
        <x:v>Kling v3.0 (Replicate)</x:v>
      </x:c>
      <x:c r="K425" t="str">
        <x:v>Sequential Context</x:v>
      </x:c>
      <x:c r="L425" t="str">
        <x:v>Provides previous and next step for continuity without asking for them to appear.</x:v>
      </x:c>
      <x:c r="M425" t="str">
        <x:v>Close-up realistic instructional DIY video: scrape loose paint from a window sill. Show paint scraper working on window sill. Hands visible, stable camera, no text overlay, neutral shop lighting. This is the middle clip in a sequence. Previous step has already prepared the work area; next step will verify the result. Keep the same workpiece, camera distance, and hand orientation.</x:v>
      </x:c>
      <x:c r="N425" s="14" t="n">
        <x:v>10</x:v>
      </x:c>
      <x:c r="O425" s="14" t="n">
        <x:v>100713</x:v>
      </x:c>
      <x:c r="P425" t="str">
        <x:v>R-E</x:v>
      </x:c>
      <x:c r="Q425" s="12" t="n">
        <x:v>4.26</x:v>
      </x:c>
      <x:c r="R425" s="12" t="n">
        <x:v>3.81</x:v>
      </x:c>
      <x:c r="S425" s="12" t="n">
        <x:v>3.84</x:v>
      </x:c>
      <x:c r="T425" s="12" t="n">
        <x:v>3.66</x:v>
      </x:c>
      <x:c r="U425" s="12" t="n">
        <x:v>3.24</x:v>
      </x:c>
      <x:c r="V425" s="12" t="n">
        <x:v>4.05</x:v>
      </x:c>
      <x:c r="W425" s="12" t="n">
        <x:f>ROUND((Q425*0.24)+(R425*0.22)+(S425*0.16)+(T425*0.18)+(U425*0.10)+(V425*0.10),2)</x:f>
        <x:v>3.86</x:v>
      </x:c>
      <x:c r="X425" t="str">
        <x:f>IF(W425&gt;=3.55,"Pass","Fail")</x:f>
        <x:v>Pass</x:v>
      </x:c>
      <x:c r="Y425" t="str">
        <x:v>contact point hidden</x:v>
      </x:c>
      <x:c r="Z425" t="str">
        <x:v>QA note: Usable, but I would not show it without review. The paint scraper is recognizable, yet the exact contact point is hard to see when the hand crosses the frame. The mistake appears late, so a simple thumbnail review would probably miss it. Continuity is useful here, but it cannot replace showing the actual contact point.</x:v>
      </x:c>
      <x:c r="AA425" t="str">
        <x:v>Use sequential context only for continuity, not for adding previous/next steps into the frame.</x:v>
      </x:c>
      <x:c r="AB425" t="str">
        <x:v>Medium-High</x:v>
      </x:c>
      <x:c r="AC425" t="str"/>
      <x:c r="AD425" t="str">
        <x:v>Planning dataset only; scores are plausible placeholders, not vendor claims.</x:v>
      </x:c>
    </x:row>
    <x:row r="426">
      <x:c r="A426" t="str">
        <x:v>S071-Pika-SEQ</x:v>
      </x:c>
      <x:c r="B426" t="str">
        <x:v>S071</x:v>
      </x:c>
      <x:c r="C426" t="str">
        <x:v>Painting</x:v>
      </x:c>
      <x:c r="D426" t="str">
        <x:v>surface prep</x:v>
      </x:c>
      <x:c r="E426" t="str">
        <x:v>scraping</x:v>
      </x:c>
      <x:c r="F426" t="n">
        <x:v>3</x:v>
      </x:c>
      <x:c r="G426" t="str">
        <x:v>scrape loose paint from a window sill</x:v>
      </x:c>
      <x:c r="H426" t="str">
        <x:v>paint scraper</x:v>
      </x:c>
      <x:c r="I426" t="str">
        <x:v>window sill</x:v>
      </x:c>
      <x:c r="J426" t="str">
        <x:v>Pika 2.2</x:v>
      </x:c>
      <x:c r="K426" t="str">
        <x:v>Sequential Context</x:v>
      </x:c>
      <x:c r="L426" t="str">
        <x:v>Provides previous and next step for continuity without asking for them to appear.</x:v>
      </x:c>
      <x:c r="M426" t="str">
        <x:v>Close-up realistic instructional DIY video: scrape loose paint from a window sill. Show paint scraper working on window sill. Hands visible, stable camera, no text overlay, neutral shop lighting. This is the middle clip in a sequence. Previous step has already prepared the work area; next step will verify the result. Keep the same workpiece, camera distance, and hand orientation.</x:v>
      </x:c>
      <x:c r="N426" s="14" t="n">
        <x:v>5</x:v>
      </x:c>
      <x:c r="O426" s="14" t="n">
        <x:v>100714</x:v>
      </x:c>
      <x:c r="P426" t="str">
        <x:v>R-E</x:v>
      </x:c>
      <x:c r="Q426" s="12" t="n">
        <x:v>3.25</x:v>
      </x:c>
      <x:c r="R426" s="12" t="n">
        <x:v>3.7</x:v>
      </x:c>
      <x:c r="S426" s="12" t="n">
        <x:v>3.7</x:v>
      </x:c>
      <x:c r="T426" s="12" t="n">
        <x:v>3.71</x:v>
      </x:c>
      <x:c r="U426" s="12" t="n">
        <x:v>3.15</x:v>
      </x:c>
      <x:c r="V426" s="12" t="n">
        <x:v>3.88</x:v>
      </x:c>
      <x:c r="W426" s="12" t="n">
        <x:f>ROUND((Q426*0.24)+(R426*0.22)+(S426*0.16)+(T426*0.18)+(U426*0.10)+(V426*0.10),2)</x:f>
        <x:v>3.56</x:v>
      </x:c>
      <x:c r="X426" t="str">
        <x:f>IF(W426&gt;=3.55,"Pass","Fail")</x:f>
        <x:v>Pass</x:v>
      </x:c>
      <x:c r="Y426" t="str">
        <x:v>camera blocks work</x:v>
      </x:c>
      <x:c r="Z426" t="str">
        <x:v>Human check: Usable, but I would not show it without review. The paint scraper is recognizable, yet the exact contact point is hard to see when the hand crosses the frame. I would keep the same camera angle but ask for a tighter view of the contact point. Continuity is useful here, but it cannot replace showing the actual contact point.</x:v>
      </x:c>
      <x:c r="AA426" t="str">
        <x:v>Move safety language earlier in the prompt and remove cinematic camera instructions.</x:v>
      </x:c>
      <x:c r="AB426" t="str">
        <x:v>High</x:v>
      </x:c>
      <x:c r="AC426" t="str"/>
      <x:c r="AD426" t="str">
        <x:v>Simulated pilot row for planning; replace with blinded ratings after generating actual clips.</x:v>
      </x:c>
    </x:row>
    <x:row r="427">
      <x:c r="A427" t="str">
        <x:v>S071-Vidu-SEQ</x:v>
      </x:c>
      <x:c r="B427" t="str">
        <x:v>S071</x:v>
      </x:c>
      <x:c r="C427" t="str">
        <x:v>Painting</x:v>
      </x:c>
      <x:c r="D427" t="str">
        <x:v>surface prep</x:v>
      </x:c>
      <x:c r="E427" t="str">
        <x:v>scraping</x:v>
      </x:c>
      <x:c r="F427" t="n">
        <x:v>3</x:v>
      </x:c>
      <x:c r="G427" t="str">
        <x:v>scrape loose paint from a window sill</x:v>
      </x:c>
      <x:c r="H427" t="str">
        <x:v>paint scraper</x:v>
      </x:c>
      <x:c r="I427" t="str">
        <x:v>window sill</x:v>
      </x:c>
      <x:c r="J427" t="str">
        <x:v>Vidu 2.0</x:v>
      </x:c>
      <x:c r="K427" t="str">
        <x:v>Sequential Context</x:v>
      </x:c>
      <x:c r="L427" t="str">
        <x:v>Provides previous and next step for continuity without asking for them to appear.</x:v>
      </x:c>
      <x:c r="M427" t="str">
        <x:v>Close-up realistic instructional DIY video: scrape loose paint from a window sill. Show paint scraper working on window sill. Hands visible, stable camera, no text overlay, neutral shop lighting. This is the middle clip in a sequence. Previous step has already prepared the work area; next step will verify the result. Keep the same workpiece, camera distance, and hand orientation.</x:v>
      </x:c>
      <x:c r="N427" s="14" t="n">
        <x:v>5</x:v>
      </x:c>
      <x:c r="O427" s="14" t="n">
        <x:v>100715</x:v>
      </x:c>
      <x:c r="P427" t="str">
        <x:v>R-E</x:v>
      </x:c>
      <x:c r="Q427" s="12" t="n">
        <x:v>3.64</x:v>
      </x:c>
      <x:c r="R427" s="12" t="n">
        <x:v>2.76</x:v>
      </x:c>
      <x:c r="S427" s="12" t="n">
        <x:v>3.26</x:v>
      </x:c>
      <x:c r="T427" s="12" t="n">
        <x:v>3.21</x:v>
      </x:c>
      <x:c r="U427" s="12" t="n">
        <x:v>3.41</x:v>
      </x:c>
      <x:c r="V427" s="12" t="n">
        <x:v>3.7</x:v>
      </x:c>
      <x:c r="W427" s="12" t="n">
        <x:f>ROUND((Q427*0.24)+(R427*0.22)+(S427*0.16)+(T427*0.18)+(U427*0.10)+(V427*0.10),2)</x:f>
        <x:v>3.29</x:v>
      </x:c>
      <x:c r="X427" t="str">
        <x:f>IF(W427&gt;=3.55,"Pass","Fail")</x:f>
        <x:v>Fail</x:v>
      </x:c>
      <x:c r="Y427" t="str">
        <x:v>thread direction unclear</x:v>
      </x:c>
      <x:c r="Z427" t="str">
        <x:v>Rater note: Too much is being implied. The paint scraper and window sill are in the scene, but the motion does not demonstrate the actual repair step. The issue is subtle visually, but it matters because the clip is supposed to teach the technique. Continuity is useful here, but it cannot replace showing the actual contact point.</x:v>
      </x:c>
      <x:c r="AA427" t="str">
        <x:v>Move safety language earlier in the prompt and remove cinematic camera instructions.</x:v>
      </x:c>
      <x:c r="AB427" t="str">
        <x:v>Low</x:v>
      </x:c>
      <x:c r="AC427" t="str"/>
      <x:c r="AD427" t="str">
        <x:v>Synthetic benchmark entry; generated clip URL should be filled after API run.</x:v>
      </x:c>
    </x:row>
    <x:row r="428">
      <x:c r="A428" t="str">
        <x:v>S072-Veo-CON</x:v>
      </x:c>
      <x:c r="B428" t="str">
        <x:v>S072</x:v>
      </x:c>
      <x:c r="C428" t="str">
        <x:v>Painting</x:v>
      </x:c>
      <x:c r="D428" t="str">
        <x:v>spray painting</x:v>
      </x:c>
      <x:c r="E428" t="str">
        <x:v>spraying</x:v>
      </x:c>
      <x:c r="F428" t="n">
        <x:v>4</x:v>
      </x:c>
      <x:c r="G428" t="str">
        <x:v>spray a thin even coat across a metal bracket</x:v>
      </x:c>
      <x:c r="H428" t="str">
        <x:v>spray paint can</x:v>
      </x:c>
      <x:c r="I428" t="str">
        <x:v>metal bracket</x:v>
      </x:c>
      <x:c r="J428" t="str">
        <x:v>Veo 3.1</x:v>
      </x:c>
      <x:c r="K428" t="str">
        <x:v>Constraint-Rich Negative Prompt</x:v>
      </x:c>
      <x:c r="L428" t="str">
        <x:v>Adds concise no-floating-tools/no-extra-objects/no-morphing constraints.</x:v>
      </x:c>
      <x:c r="M428" t="str">
        <x:v>Close-up realistic instructional DIY video: spray a thin even coat across a metal bracket. Show spray paint can working on metal bracket. Hands visible, stable camera, no text overlay, neutral shop lighting. Constraints: no floating tools, no extra tools, no morphing hands, no reversed motion, no impossible deformation, no dramatic camera spin. Keep the full action legible.</x:v>
      </x:c>
      <x:c r="N428" s="14" t="n">
        <x:v>8</x:v>
      </x:c>
      <x:c r="O428" s="14" t="n">
        <x:v>100720</x:v>
      </x:c>
      <x:c r="P428" t="str">
        <x:v>R-B</x:v>
      </x:c>
      <x:c r="Q428" s="12" t="n">
        <x:v>4.74</x:v>
      </x:c>
      <x:c r="R428" s="12" t="n">
        <x:v>4.29</x:v>
      </x:c>
      <x:c r="S428" s="12" t="n">
        <x:v>3.94</x:v>
      </x:c>
      <x:c r="T428" s="12" t="n">
        <x:v>3.95</x:v>
      </x:c>
      <x:c r="U428" s="12" t="n">
        <x:v>3.62</x:v>
      </x:c>
      <x:c r="V428" s="12" t="n">
        <x:v>3.82</x:v>
      </x:c>
      <x:c r="W428" s="12" t="n">
        <x:f>ROUND((Q428*0.24)+(R428*0.22)+(S428*0.16)+(T428*0.18)+(U428*0.10)+(V428*0.10),2)</x:f>
        <x:v>4.17</x:v>
      </x:c>
      <x:c r="X428" t="str">
        <x:f>IF(W428&gt;=3.55,"Pass","Fail")</x:f>
        <x:v>Pass</x:v>
      </x:c>
      <x:c r="Y428" t="str">
        <x:v>contact point hidden</x:v>
      </x:c>
      <x:c r="Z428" t="str">
        <x:v>Rater note: The clip feels like a usable shop-demo take. I can see the hand position and the metal bracket; it just needs a slightly longer hold on the final state. I marked it down for the key moment rather than the opening setup. The negative constraints help, but they do not fully solve the mechanics.</x:v>
      </x:c>
      <x:c r="AA428" t="str">
        <x:v>Use a reference image for the spray paint can and specify its grip/orientation in plain language.</x:v>
      </x:c>
      <x:c r="AB428" t="str">
        <x:v>Medium</x:v>
      </x:c>
      <x:c r="AC428" t="str"/>
      <x:c r="AD428" t="str">
        <x:v>Simulated pilot row for planning; replace with blinded ratings after generating actual clips.</x:v>
      </x:c>
    </x:row>
    <x:row r="429">
      <x:c r="A429" t="str">
        <x:v>S072-Sora-CON</x:v>
      </x:c>
      <x:c r="B429" t="str">
        <x:v>S072</x:v>
      </x:c>
      <x:c r="C429" t="str">
        <x:v>Painting</x:v>
      </x:c>
      <x:c r="D429" t="str">
        <x:v>spray painting</x:v>
      </x:c>
      <x:c r="E429" t="str">
        <x:v>spraying</x:v>
      </x:c>
      <x:c r="F429" t="n">
        <x:v>4</x:v>
      </x:c>
      <x:c r="G429" t="str">
        <x:v>spray a thin even coat across a metal bracket</x:v>
      </x:c>
      <x:c r="H429" t="str">
        <x:v>spray paint can</x:v>
      </x:c>
      <x:c r="I429" t="str">
        <x:v>metal bracket</x:v>
      </x:c>
      <x:c r="J429" t="str">
        <x:v>Sora 2 Pro</x:v>
      </x:c>
      <x:c r="K429" t="str">
        <x:v>Constraint-Rich Negative Prompt</x:v>
      </x:c>
      <x:c r="L429" t="str">
        <x:v>Adds concise no-floating-tools/no-extra-objects/no-morphing constraints.</x:v>
      </x:c>
      <x:c r="M429" t="str">
        <x:v>Close-up realistic instructional DIY video: spray a thin even coat across a metal bracket. Show spray paint can working on metal bracket. Hands visible, stable camera, no text overlay, neutral shop lighting. Constraints: no floating tools, no extra tools, no morphing hands, no reversed motion, no impossible deformation, no dramatic camera spin. Keep the full action legible.</x:v>
      </x:c>
      <x:c r="N429" s="14" t="n">
        <x:v>8</x:v>
      </x:c>
      <x:c r="O429" s="14" t="n">
        <x:v>100721</x:v>
      </x:c>
      <x:c r="P429" t="str">
        <x:v>R-A</x:v>
      </x:c>
      <x:c r="Q429" s="12" t="n">
        <x:v>4.23</x:v>
      </x:c>
      <x:c r="R429" s="12" t="n">
        <x:v>3.7</x:v>
      </x:c>
      <x:c r="S429" s="12" t="n">
        <x:v>3.73</x:v>
      </x:c>
      <x:c r="T429" s="12" t="n">
        <x:v>4.2</x:v>
      </x:c>
      <x:c r="U429" s="12" t="n">
        <x:v>3.96</x:v>
      </x:c>
      <x:c r="V429" s="12" t="n">
        <x:v>4.3</x:v>
      </x:c>
      <x:c r="W429" s="12" t="n">
        <x:f>ROUND((Q429*0.24)+(R429*0.22)+(S429*0.16)+(T429*0.18)+(U429*0.10)+(V429*0.10),2)</x:f>
        <x:v>4.01</x:v>
      </x:c>
      <x:c r="X429" t="str">
        <x:f>IF(W429&gt;=3.55,"Pass","Fail")</x:f>
        <x:v>Pass</x:v>
      </x:c>
      <x:c r="Y429" t="str">
        <x:v>tool pose a little soft</x:v>
      </x:c>
      <x:c r="Z429" t="str">
        <x:v>Rater note: Looks plausible at first glance. On a second pass, the metal bracket shifts slightly and the model seems to infer the outcome rather than show the full spraying. This would be safer as a reference-aided run than a text-only run. The negative constraints help, but they do not fully solve the mechanics.</x:v>
      </x:c>
      <x:c r="AA429" t="str">
        <x:v>Ask for a static close-up and require the spray paint can to touch the metal bracket before any motion starts.</x:v>
      </x:c>
      <x:c r="AB429" t="str">
        <x:v>Medium</x:v>
      </x:c>
      <x:c r="AC429" t="str"/>
      <x:c r="AD429" t="str">
        <x:v>Simulated pilot row for planning; replace with blinded ratings after generating actual clips.</x:v>
      </x:c>
    </x:row>
    <x:row r="430">
      <x:c r="A430" t="str">
        <x:v>S072-Runway-CON</x:v>
      </x:c>
      <x:c r="B430" t="str">
        <x:v>S072</x:v>
      </x:c>
      <x:c r="C430" t="str">
        <x:v>Painting</x:v>
      </x:c>
      <x:c r="D430" t="str">
        <x:v>spray painting</x:v>
      </x:c>
      <x:c r="E430" t="str">
        <x:v>spraying</x:v>
      </x:c>
      <x:c r="F430" t="n">
        <x:v>4</x:v>
      </x:c>
      <x:c r="G430" t="str">
        <x:v>spray a thin even coat across a metal bracket</x:v>
      </x:c>
      <x:c r="H430" t="str">
        <x:v>spray paint can</x:v>
      </x:c>
      <x:c r="I430" t="str">
        <x:v>metal bracket</x:v>
      </x:c>
      <x:c r="J430" t="str">
        <x:v>Runway Gen-4.5</x:v>
      </x:c>
      <x:c r="K430" t="str">
        <x:v>Constraint-Rich Negative Prompt</x:v>
      </x:c>
      <x:c r="L430" t="str">
        <x:v>Adds concise no-floating-tools/no-extra-objects/no-morphing constraints.</x:v>
      </x:c>
      <x:c r="M430" t="str">
        <x:v>Close-up realistic instructional DIY video: spray a thin even coat across a metal bracket. Show spray paint can working on metal bracket. Hands visible, stable camera, no text overlay, neutral shop lighting. Constraints: no floating tools, no extra tools, no morphing hands, no reversed motion, no impossible deformation, no dramatic camera spin. Keep the full action legible.</x:v>
      </x:c>
      <x:c r="N430" s="14" t="n">
        <x:v>5</x:v>
      </x:c>
      <x:c r="O430" s="14" t="n">
        <x:v>100722</x:v>
      </x:c>
      <x:c r="P430" t="str">
        <x:v>R-A</x:v>
      </x:c>
      <x:c r="Q430" s="12" t="n">
        <x:v>3.48</x:v>
      </x:c>
      <x:c r="R430" s="12" t="n">
        <x:v>3.59</x:v>
      </x:c>
      <x:c r="S430" s="12" t="n">
        <x:v>3.82</x:v>
      </x:c>
      <x:c r="T430" s="12" t="n">
        <x:v>4.11</x:v>
      </x:c>
      <x:c r="U430" s="12" t="n">
        <x:v>3.51</x:v>
      </x:c>
      <x:c r="V430" s="12" t="n">
        <x:v>3.67</x:v>
      </x:c>
      <x:c r="W430" s="12" t="n">
        <x:f>ROUND((Q430*0.24)+(R430*0.22)+(S430*0.16)+(T430*0.18)+(U430*0.10)+(V430*0.10),2)</x:f>
        <x:v>3.69</x:v>
      </x:c>
      <x:c r="X430" t="str">
        <x:f>IF(W430&gt;=3.55,"Pass","Fail")</x:f>
        <x:v>Pass</x:v>
      </x:c>
      <x:c r="Y430" t="str">
        <x:v>action starts too late</x:v>
      </x:c>
      <x:c r="Z430" t="str">
        <x:v>Clip review: I would keep this as a rough candidate. It communicates the step, although the failure mode makes it weaker than a real sourced clip: action starts too late. The clip needs a verifier pass before it can enter the training pool. The negative constraints help, but they do not fully solve the mechanics.</x:v>
      </x:c>
      <x:c r="AA430" t="str">
        <x:v>Break the action into start, contact, movement, and finish; ban extra tools and hand morphing.</x:v>
      </x:c>
      <x:c r="AB430" t="str">
        <x:v>High</x:v>
      </x:c>
      <x:c r="AC430" t="str"/>
      <x:c r="AD430" t="str">
        <x:v>Mock rater record for experiment design; audit against real video outputs before publication.</x:v>
      </x:c>
    </x:row>
    <x:row r="431">
      <x:c r="A431" t="str">
        <x:v>S072-Kling-CON</x:v>
      </x:c>
      <x:c r="B431" t="str">
        <x:v>S072</x:v>
      </x:c>
      <x:c r="C431" t="str">
        <x:v>Painting</x:v>
      </x:c>
      <x:c r="D431" t="str">
        <x:v>spray painting</x:v>
      </x:c>
      <x:c r="E431" t="str">
        <x:v>spraying</x:v>
      </x:c>
      <x:c r="F431" t="n">
        <x:v>4</x:v>
      </x:c>
      <x:c r="G431" t="str">
        <x:v>spray a thin even coat across a metal bracket</x:v>
      </x:c>
      <x:c r="H431" t="str">
        <x:v>spray paint can</x:v>
      </x:c>
      <x:c r="I431" t="str">
        <x:v>metal bracket</x:v>
      </x:c>
      <x:c r="J431" t="str">
        <x:v>Kling v3.0 (Replicate)</x:v>
      </x:c>
      <x:c r="K431" t="str">
        <x:v>Constraint-Rich Negative Prompt</x:v>
      </x:c>
      <x:c r="L431" t="str">
        <x:v>Adds concise no-floating-tools/no-extra-objects/no-morphing constraints.</x:v>
      </x:c>
      <x:c r="M431" t="str">
        <x:v>Close-up realistic instructional DIY video: spray a thin even coat across a metal bracket. Show spray paint can working on metal bracket. Hands visible, stable camera, no text overlay, neutral shop lighting. Constraints: no floating tools, no extra tools, no morphing hands, no reversed motion, no impossible deformation, no dramatic camera spin. Keep the full action legible.</x:v>
      </x:c>
      <x:c r="N431" s="14" t="n">
        <x:v>10</x:v>
      </x:c>
      <x:c r="O431" s="14" t="n">
        <x:v>100723</x:v>
      </x:c>
      <x:c r="P431" t="str">
        <x:v>R-D</x:v>
      </x:c>
      <x:c r="Q431" s="12" t="n">
        <x:v>2.82</x:v>
      </x:c>
      <x:c r="R431" s="12" t="n">
        <x:v>3.5</x:v>
      </x:c>
      <x:c r="S431" s="12" t="n">
        <x:v>3.73</x:v>
      </x:c>
      <x:c r="T431" s="12" t="n">
        <x:v>3.55</x:v>
      </x:c>
      <x:c r="U431" s="12" t="n">
        <x:v>4.22</x:v>
      </x:c>
      <x:c r="V431" s="12" t="n">
        <x:v>3.98</x:v>
      </x:c>
      <x:c r="W431" s="12" t="n">
        <x:f>ROUND((Q431*0.24)+(R431*0.22)+(S431*0.16)+(T431*0.18)+(U431*0.10)+(V431*0.10),2)</x:f>
        <x:v>3.5</x:v>
      </x:c>
      <x:c r="X431" t="str">
        <x:f>IF(W431&gt;=3.55,"Pass","Fail")</x:f>
        <x:v>Fail</x:v>
      </x:c>
      <x:c r="Y431" t="str">
        <x:v>action starts too late</x:v>
      </x:c>
      <x:c r="Z431" t="str">
        <x:v>Review note: A reviewer would likely reject this. It may be visually attractive, but the tool/object relationship breaks during the important moment. This would be safer as a reference-aided run than a text-only run. The negative constraints help, but they do not fully solve the mechanics.</x:v>
      </x:c>
      <x:c r="AA431" t="str">
        <x:v>Use sequential context only for continuity, not for adding previous/next steps into the frame.</x:v>
      </x:c>
      <x:c r="AB431" t="str">
        <x:v>Medium</x:v>
      </x:c>
      <x:c r="AC431" t="str"/>
      <x:c r="AD431" t="str">
        <x:v>Synthetic benchmark entry; generated clip URL should be filled after API run.</x:v>
      </x:c>
    </x:row>
    <x:row r="432">
      <x:c r="A432" t="str">
        <x:v>S072-Pika-CON</x:v>
      </x:c>
      <x:c r="B432" t="str">
        <x:v>S072</x:v>
      </x:c>
      <x:c r="C432" t="str">
        <x:v>Painting</x:v>
      </x:c>
      <x:c r="D432" t="str">
        <x:v>spray painting</x:v>
      </x:c>
      <x:c r="E432" t="str">
        <x:v>spraying</x:v>
      </x:c>
      <x:c r="F432" t="n">
        <x:v>4</x:v>
      </x:c>
      <x:c r="G432" t="str">
        <x:v>spray a thin even coat across a metal bracket</x:v>
      </x:c>
      <x:c r="H432" t="str">
        <x:v>spray paint can</x:v>
      </x:c>
      <x:c r="I432" t="str">
        <x:v>metal bracket</x:v>
      </x:c>
      <x:c r="J432" t="str">
        <x:v>Pika 2.2</x:v>
      </x:c>
      <x:c r="K432" t="str">
        <x:v>Constraint-Rich Negative Prompt</x:v>
      </x:c>
      <x:c r="L432" t="str">
        <x:v>Adds concise no-floating-tools/no-extra-objects/no-morphing constraints.</x:v>
      </x:c>
      <x:c r="M432" t="str">
        <x:v>Close-up realistic instructional DIY video: spray a thin even coat across a metal bracket. Show spray paint can working on metal bracket. Hands visible, stable camera, no text overlay, neutral shop lighting. Constraints: no floating tools, no extra tools, no morphing hands, no reversed motion, no impossible deformation, no dramatic camera spin. Keep the full action legible.</x:v>
      </x:c>
      <x:c r="N432" s="14" t="n">
        <x:v>5</x:v>
      </x:c>
      <x:c r="O432" s="14" t="n">
        <x:v>100724</x:v>
      </x:c>
      <x:c r="P432" t="str">
        <x:v>R-B</x:v>
      </x:c>
      <x:c r="Q432" s="12" t="n">
        <x:v>3.8</x:v>
      </x:c>
      <x:c r="R432" s="12" t="n">
        <x:v>2.82</x:v>
      </x:c>
      <x:c r="S432" s="12" t="n">
        <x:v>3.11</x:v>
      </x:c>
      <x:c r="T432" s="12" t="n">
        <x:v>3.08</x:v>
      </x:c>
      <x:c r="U432" s="12" t="n">
        <x:v>2.91</x:v>
      </x:c>
      <x:c r="V432" s="12" t="n">
        <x:v>4.23</x:v>
      </x:c>
      <x:c r="W432" s="12" t="n">
        <x:f>ROUND((Q432*0.24)+(R432*0.22)+(S432*0.16)+(T432*0.18)+(U432*0.10)+(V432*0.10),2)</x:f>
        <x:v>3.3</x:v>
      </x:c>
      <x:c r="X432" t="str">
        <x:f>IF(W432&gt;=3.55,"Pass","Fail")</x:f>
        <x:v>Fail</x:v>
      </x:c>
      <x:c r="Y432" t="str">
        <x:v>camera blocks work</x:v>
      </x:c>
      <x:c r="Z432" t="str">
        <x:v>QA note: The generated clip loses the procedure. I would re-run with a reference frame and a stricter Action-Object-Tool prompt. The clip needs a verifier pass before it can enter the training pool. The negative constraints help, but they do not fully solve the mechanics.</x:v>
      </x:c>
      <x:c r="AA432" t="str">
        <x:v>Break the action into start, contact, movement, and finish; ban extra tools and hand morphing.</x:v>
      </x:c>
      <x:c r="AB432" t="str">
        <x:v>Medium</x:v>
      </x:c>
      <x:c r="AC432" t="str"/>
      <x:c r="AD432" t="str">
        <x:v>Synthetic benchmark entry; generated clip URL should be filled after API run.</x:v>
      </x:c>
    </x:row>
    <x:row r="433">
      <x:c r="A433" t="str">
        <x:v>S072-Vidu-CON</x:v>
      </x:c>
      <x:c r="B433" t="str">
        <x:v>S072</x:v>
      </x:c>
      <x:c r="C433" t="str">
        <x:v>Painting</x:v>
      </x:c>
      <x:c r="D433" t="str">
        <x:v>spray painting</x:v>
      </x:c>
      <x:c r="E433" t="str">
        <x:v>spraying</x:v>
      </x:c>
      <x:c r="F433" t="n">
        <x:v>4</x:v>
      </x:c>
      <x:c r="G433" t="str">
        <x:v>spray a thin even coat across a metal bracket</x:v>
      </x:c>
      <x:c r="H433" t="str">
        <x:v>spray paint can</x:v>
      </x:c>
      <x:c r="I433" t="str">
        <x:v>metal bracket</x:v>
      </x:c>
      <x:c r="J433" t="str">
        <x:v>Vidu 2.0</x:v>
      </x:c>
      <x:c r="K433" t="str">
        <x:v>Constraint-Rich Negative Prompt</x:v>
      </x:c>
      <x:c r="L433" t="str">
        <x:v>Adds concise no-floating-tools/no-extra-objects/no-morphing constraints.</x:v>
      </x:c>
      <x:c r="M433" t="str">
        <x:v>Close-up realistic instructional DIY video: spray a thin even coat across a metal bracket. Show spray paint can working on metal bracket. Hands visible, stable camera, no text overlay, neutral shop lighting. Constraints: no floating tools, no extra tools, no morphing hands, no reversed motion, no impossible deformation, no dramatic camera spin. Keep the full action legible.</x:v>
      </x:c>
      <x:c r="N433" s="14" t="n">
        <x:v>5</x:v>
      </x:c>
      <x:c r="O433" s="14" t="n">
        <x:v>100725</x:v>
      </x:c>
      <x:c r="P433" t="str">
        <x:v>R-C</x:v>
      </x:c>
      <x:c r="Q433" s="12" t="n">
        <x:v>3.1</x:v>
      </x:c>
      <x:c r="R433" s="12" t="n">
        <x:v>3.02</x:v>
      </x:c>
      <x:c r="S433" s="12" t="n">
        <x:v>3.39</x:v>
      </x:c>
      <x:c r="T433" s="12" t="n">
        <x:v>3.06</x:v>
      </x:c>
      <x:c r="U433" s="12" t="n">
        <x:v>3.72</x:v>
      </x:c>
      <x:c r="V433" s="12" t="n">
        <x:v>3.42</x:v>
      </x:c>
      <x:c r="W433" s="12" t="n">
        <x:f>ROUND((Q433*0.24)+(R433*0.22)+(S433*0.16)+(T433*0.18)+(U433*0.10)+(V433*0.10),2)</x:f>
        <x:v>3.22</x:v>
      </x:c>
      <x:c r="X433" t="str">
        <x:f>IF(W433&gt;=3.55,"Pass","Fail")</x:f>
        <x:v>Fail</x:v>
      </x:c>
      <x:c r="Y433" t="str">
        <x:v>tool floats near object</x:v>
      </x:c>
      <x:c r="Z433" t="str">
        <x:v>Human check: This should fail the instructional bar. The model gestures toward the task, but the failure mode prevents a learner from trusting the technique: tool floats near object. The next prompt should slow the final second instead of adding more scene detail. The negative constraints help, but they do not fully solve the mechanics.</x:v>
      </x:c>
      <x:c r="AA433" t="str">
        <x:v>Ask for a static close-up and require the spray paint can to touch the metal bracket before any motion starts.</x:v>
      </x:c>
      <x:c r="AB433" t="str">
        <x:v>Low</x:v>
      </x:c>
      <x:c r="AC433" t="str"/>
      <x:c r="AD433" t="str">
        <x:v>Simulated pilot row for planning; replace with blinded ratings after generating actual clips.</x:v>
      </x:c>
    </x:row>
    <x:row r="434">
      <x:c r="A434" t="str">
        <x:v>S073-Veo-DIR</x:v>
      </x:c>
      <x:c r="B434" t="str">
        <x:v>S073</x:v>
      </x:c>
      <x:c r="C434" t="str">
        <x:v>Painting</x:v>
      </x:c>
      <x:c r="D434" t="str">
        <x:v>cabinet finish</x:v>
      </x:c>
      <x:c r="E434" t="str">
        <x:v>brushing</x:v>
      </x:c>
      <x:c r="F434" t="n">
        <x:v>3</x:v>
      </x:c>
      <x:c r="G434" t="str">
        <x:v>brush paint into a cabinet door rail without pooling</x:v>
      </x:c>
      <x:c r="H434" t="str">
        <x:v>small brush</x:v>
      </x:c>
      <x:c r="I434" t="str">
        <x:v>cabinet door rail</x:v>
      </x:c>
      <x:c r="J434" t="str">
        <x:v>Veo 3.1</x:v>
      </x:c>
      <x:c r="K434" t="str">
        <x:v>Direct Natural Language</x:v>
      </x:c>
      <x:c r="L434" t="str">
        <x:v>Baseline wording only; no explicit decomposition.</x:v>
      </x:c>
      <x:c r="M434" t="str">
        <x:v>Close-up realistic instructional DIY video: brush paint into a cabinet door rail without pooling. Show small brush working on cabinet door rail. Hands visible, stable camera, no text overlay, neutral shop lighting.</x:v>
      </x:c>
      <x:c r="N434" s="14" t="n">
        <x:v>8</x:v>
      </x:c>
      <x:c r="O434" s="14" t="n">
        <x:v>100730</x:v>
      </x:c>
      <x:c r="P434" t="str">
        <x:v>R-B</x:v>
      </x:c>
      <x:c r="Q434" s="12" t="n">
        <x:v>3.6</x:v>
      </x:c>
      <x:c r="R434" s="12" t="n">
        <x:v>3.64</x:v>
      </x:c>
      <x:c r="S434" s="12" t="n">
        <x:v>3.58</x:v>
      </x:c>
      <x:c r="T434" s="12" t="n">
        <x:v>4.55</x:v>
      </x:c>
      <x:c r="U434" s="12" t="n">
        <x:v>3.97</x:v>
      </x:c>
      <x:c r="V434" s="12" t="n">
        <x:v>3.92</x:v>
      </x:c>
      <x:c r="W434" s="12" t="n">
        <x:f>ROUND((Q434*0.24)+(R434*0.22)+(S434*0.16)+(T434*0.18)+(U434*0.10)+(V434*0.10),2)</x:f>
        <x:v>3.85</x:v>
      </x:c>
      <x:c r="X434" t="str">
        <x:f>IF(W434&gt;=3.55,"Pass","Fail")</x:f>
        <x:v>Pass</x:v>
      </x:c>
      <x:c r="Y434" t="str">
        <x:v>tool pose a little soft</x:v>
      </x:c>
      <x:c r="Z434" t="str">
        <x:v>Review note: The intention is clear, especially if you already know the step. A novice might miss the key detail because this issue appears right where the action should be most explicit: tool pose a little soft. The clip needs a verifier pass before it can enter the training pool. For this painting example, the main judgment is still whether the viewer can copy the motion.</x:v>
      </x:c>
      <x:c r="AA434" t="str">
        <x:v>Add a one-sentence end-state requirement: viewer must see the completed brushing result for one full second.</x:v>
      </x:c>
      <x:c r="AB434" t="str">
        <x:v>Medium-High</x:v>
      </x:c>
      <x:c r="AC434" t="str"/>
      <x:c r="AD434" t="str">
        <x:v>Simulated pilot row for planning; replace with blinded ratings after generating actual clips.</x:v>
      </x:c>
    </x:row>
    <x:row r="435">
      <x:c r="A435" t="str">
        <x:v>S073-Sora-DIR</x:v>
      </x:c>
      <x:c r="B435" t="str">
        <x:v>S073</x:v>
      </x:c>
      <x:c r="C435" t="str">
        <x:v>Painting</x:v>
      </x:c>
      <x:c r="D435" t="str">
        <x:v>cabinet finish</x:v>
      </x:c>
      <x:c r="E435" t="str">
        <x:v>brushing</x:v>
      </x:c>
      <x:c r="F435" t="n">
        <x:v>3</x:v>
      </x:c>
      <x:c r="G435" t="str">
        <x:v>brush paint into a cabinet door rail without pooling</x:v>
      </x:c>
      <x:c r="H435" t="str">
        <x:v>small brush</x:v>
      </x:c>
      <x:c r="I435" t="str">
        <x:v>cabinet door rail</x:v>
      </x:c>
      <x:c r="J435" t="str">
        <x:v>Sora 2 Pro</x:v>
      </x:c>
      <x:c r="K435" t="str">
        <x:v>Direct Natural Language</x:v>
      </x:c>
      <x:c r="L435" t="str">
        <x:v>Baseline wording only; no explicit decomposition.</x:v>
      </x:c>
      <x:c r="M435" t="str">
        <x:v>Close-up realistic instructional DIY video: brush paint into a cabinet door rail without pooling. Show small brush working on cabinet door rail. Hands visible, stable camera, no text overlay, neutral shop lighting.</x:v>
      </x:c>
      <x:c r="N435" s="14" t="n">
        <x:v>8</x:v>
      </x:c>
      <x:c r="O435" s="14" t="n">
        <x:v>100731</x:v>
      </x:c>
      <x:c r="P435" t="str">
        <x:v>R-B</x:v>
      </x:c>
      <x:c r="Q435" s="12" t="n">
        <x:v>3.64</x:v>
      </x:c>
      <x:c r="R435" s="12" t="n">
        <x:v>4.28</x:v>
      </x:c>
      <x:c r="S435" s="12" t="n">
        <x:v>4.49</x:v>
      </x:c>
      <x:c r="T435" s="12" t="n">
        <x:v>4.44</x:v>
      </x:c>
      <x:c r="U435" s="12" t="n">
        <x:v>3.69</x:v>
      </x:c>
      <x:c r="V435" s="12" t="n">
        <x:v>4.32</x:v>
      </x:c>
      <x:c r="W435" s="12" t="n">
        <x:f>ROUND((Q435*0.24)+(R435*0.22)+(S435*0.16)+(T435*0.18)+(U435*0.10)+(V435*0.10),2)</x:f>
        <x:v>4.13</x:v>
      </x:c>
      <x:c r="X435" t="str">
        <x:f>IF(W435&gt;=3.55,"Pass","Fail")</x:f>
        <x:v>Pass</x:v>
      </x:c>
      <x:c r="Y435" t="str">
        <x:v>minor continuity jump</x:v>
      </x:c>
      <x:c r="Z435" t="str">
        <x:v>Human check: The intention is clear, especially if you already know the step. A novice might miss the key detail because this issue appears right where the action should be most explicit: minor continuity jump. I marked it down for the key moment rather than the opening setup. For this painting example, the main judgment is still whether the viewer can copy the motion.</x:v>
      </x:c>
      <x:c r="AA435" t="str">
        <x:v>Add a one-sentence end-state requirement: viewer must see the completed brushing result for one full second.</x:v>
      </x:c>
      <x:c r="AB435" t="str">
        <x:v>Medium</x:v>
      </x:c>
      <x:c r="AC435" t="str"/>
      <x:c r="AD435" t="str">
        <x:v>Mock rater record for experiment design; audit against real video outputs before publication.</x:v>
      </x:c>
    </x:row>
    <x:row r="436">
      <x:c r="A436" t="str">
        <x:v>S073-Runway-DIR</x:v>
      </x:c>
      <x:c r="B436" t="str">
        <x:v>S073</x:v>
      </x:c>
      <x:c r="C436" t="str">
        <x:v>Painting</x:v>
      </x:c>
      <x:c r="D436" t="str">
        <x:v>cabinet finish</x:v>
      </x:c>
      <x:c r="E436" t="str">
        <x:v>brushing</x:v>
      </x:c>
      <x:c r="F436" t="n">
        <x:v>3</x:v>
      </x:c>
      <x:c r="G436" t="str">
        <x:v>brush paint into a cabinet door rail without pooling</x:v>
      </x:c>
      <x:c r="H436" t="str">
        <x:v>small brush</x:v>
      </x:c>
      <x:c r="I436" t="str">
        <x:v>cabinet door rail</x:v>
      </x:c>
      <x:c r="J436" t="str">
        <x:v>Runway Gen-4.5</x:v>
      </x:c>
      <x:c r="K436" t="str">
        <x:v>Direct Natural Language</x:v>
      </x:c>
      <x:c r="L436" t="str">
        <x:v>Baseline wording only; no explicit decomposition.</x:v>
      </x:c>
      <x:c r="M436" t="str">
        <x:v>Close-up realistic instructional DIY video: brush paint into a cabinet door rail without pooling. Show small brush working on cabinet door rail. Hands visible, stable camera, no text overlay, neutral shop lighting.</x:v>
      </x:c>
      <x:c r="N436" s="14" t="n">
        <x:v>5</x:v>
      </x:c>
      <x:c r="O436" s="14" t="n">
        <x:v>100732</x:v>
      </x:c>
      <x:c r="P436" t="str">
        <x:v>R-C</x:v>
      </x:c>
      <x:c r="Q436" s="12" t="n">
        <x:v>3.65</x:v>
      </x:c>
      <x:c r="R436" s="12" t="n">
        <x:v>3.62</x:v>
      </x:c>
      <x:c r="S436" s="12" t="n">
        <x:v>3.39</x:v>
      </x:c>
      <x:c r="T436" s="12" t="n">
        <x:v>3.6</x:v>
      </x:c>
      <x:c r="U436" s="12" t="n">
        <x:v>3.64</x:v>
      </x:c>
      <x:c r="V436" s="12" t="n">
        <x:v>4.51</x:v>
      </x:c>
      <x:c r="W436" s="12" t="n">
        <x:f>ROUND((Q436*0.24)+(R436*0.22)+(S436*0.16)+(T436*0.18)+(U436*0.10)+(V436*0.10),2)</x:f>
        <x:v>3.68</x:v>
      </x:c>
      <x:c r="X436" t="str">
        <x:f>IF(W436&gt;=3.55,"Pass","Fail")</x:f>
        <x:v>Pass</x:v>
      </x:c>
      <x:c r="Y436" t="str">
        <x:v>thread direction unclear</x:v>
      </x:c>
      <x:c r="Z436" t="str">
        <x:v>Clip review: The intention is clear, especially if you already know the step. A novice might miss the key detail because this issue appears right where the action should be most explicit: thread direction unclear. I would keep the same camera angle but ask for a tighter view of the contact point. The baseline prompt is likely under-specifying the tool path.</x:v>
      </x:c>
      <x:c r="AA436" t="str">
        <x:v>Move safety language earlier in the prompt and remove cinematic camera instructions.</x:v>
      </x:c>
      <x:c r="AB436" t="str">
        <x:v>Medium-High</x:v>
      </x:c>
      <x:c r="AC436" t="str"/>
      <x:c r="AD436" t="str">
        <x:v>Mock rater record for experiment design; audit against real video outputs before publication.</x:v>
      </x:c>
    </x:row>
    <x:row r="437">
      <x:c r="A437" t="str">
        <x:v>S073-Kling-DIR</x:v>
      </x:c>
      <x:c r="B437" t="str">
        <x:v>S073</x:v>
      </x:c>
      <x:c r="C437" t="str">
        <x:v>Painting</x:v>
      </x:c>
      <x:c r="D437" t="str">
        <x:v>cabinet finish</x:v>
      </x:c>
      <x:c r="E437" t="str">
        <x:v>brushing</x:v>
      </x:c>
      <x:c r="F437" t="n">
        <x:v>3</x:v>
      </x:c>
      <x:c r="G437" t="str">
        <x:v>brush paint into a cabinet door rail without pooling</x:v>
      </x:c>
      <x:c r="H437" t="str">
        <x:v>small brush</x:v>
      </x:c>
      <x:c r="I437" t="str">
        <x:v>cabinet door rail</x:v>
      </x:c>
      <x:c r="J437" t="str">
        <x:v>Kling v3.0 (Replicate)</x:v>
      </x:c>
      <x:c r="K437" t="str">
        <x:v>Direct Natural Language</x:v>
      </x:c>
      <x:c r="L437" t="str">
        <x:v>Baseline wording only; no explicit decomposition.</x:v>
      </x:c>
      <x:c r="M437" t="str">
        <x:v>Close-up realistic instructional DIY video: brush paint into a cabinet door rail without pooling. Show small brush working on cabinet door rail. Hands visible, stable camera, no text overlay, neutral shop lighting.</x:v>
      </x:c>
      <x:c r="N437" s="14" t="n">
        <x:v>10</x:v>
      </x:c>
      <x:c r="O437" s="14" t="n">
        <x:v>100733</x:v>
      </x:c>
      <x:c r="P437" t="str">
        <x:v>R-E</x:v>
      </x:c>
      <x:c r="Q437" s="12" t="n">
        <x:v>3.08</x:v>
      </x:c>
      <x:c r="R437" s="12" t="n">
        <x:v>3.62</x:v>
      </x:c>
      <x:c r="S437" s="12" t="n">
        <x:v>3.67</x:v>
      </x:c>
      <x:c r="T437" s="12" t="n">
        <x:v>3.51</x:v>
      </x:c>
      <x:c r="U437" s="12" t="n">
        <x:v>3.95</x:v>
      </x:c>
      <x:c r="V437" s="12" t="n">
        <x:v>2.94</x:v>
      </x:c>
      <x:c r="W437" s="12" t="n">
        <x:f>ROUND((Q437*0.24)+(R437*0.22)+(S437*0.16)+(T437*0.18)+(U437*0.10)+(V437*0.10),2)</x:f>
        <x:v>3.44</x:v>
      </x:c>
      <x:c r="X437" t="str">
        <x:f>IF(W437&gt;=3.55,"Pass","Fail")</x:f>
        <x:v>Fail</x:v>
      </x:c>
      <x:c r="Y437" t="str">
        <x:v>thread direction unclear</x:v>
      </x:c>
      <x:c r="Z437" t="str">
        <x:v>Rater note: Too much is being implied. The small brush and cabinet door rail are in the scene, but the motion does not demonstrate the actual repair step. This reads better as a teaser than as an instructional clip. The baseline prompt is likely under-specifying the tool path.</x:v>
      </x:c>
      <x:c r="AA437" t="str">
        <x:v>Move safety language earlier in the prompt and remove cinematic camera instructions.</x:v>
      </x:c>
      <x:c r="AB437" t="str">
        <x:v>Medium-High</x:v>
      </x:c>
      <x:c r="AC437" t="str"/>
      <x:c r="AD437" t="str">
        <x:v>Synthetic benchmark entry; generated clip URL should be filled after API run.</x:v>
      </x:c>
    </x:row>
    <x:row r="438">
      <x:c r="A438" t="str">
        <x:v>S073-Pika-DIR</x:v>
      </x:c>
      <x:c r="B438" t="str">
        <x:v>S073</x:v>
      </x:c>
      <x:c r="C438" t="str">
        <x:v>Painting</x:v>
      </x:c>
      <x:c r="D438" t="str">
        <x:v>cabinet finish</x:v>
      </x:c>
      <x:c r="E438" t="str">
        <x:v>brushing</x:v>
      </x:c>
      <x:c r="F438" t="n">
        <x:v>3</x:v>
      </x:c>
      <x:c r="G438" t="str">
        <x:v>brush paint into a cabinet door rail without pooling</x:v>
      </x:c>
      <x:c r="H438" t="str">
        <x:v>small brush</x:v>
      </x:c>
      <x:c r="I438" t="str">
        <x:v>cabinet door rail</x:v>
      </x:c>
      <x:c r="J438" t="str">
        <x:v>Pika 2.2</x:v>
      </x:c>
      <x:c r="K438" t="str">
        <x:v>Direct Natural Language</x:v>
      </x:c>
      <x:c r="L438" t="str">
        <x:v>Baseline wording only; no explicit decomposition.</x:v>
      </x:c>
      <x:c r="M438" t="str">
        <x:v>Close-up realistic instructional DIY video: brush paint into a cabinet door rail without pooling. Show small brush working on cabinet door rail. Hands visible, stable camera, no text overlay, neutral shop lighting.</x:v>
      </x:c>
      <x:c r="N438" s="14" t="n">
        <x:v>5</x:v>
      </x:c>
      <x:c r="O438" s="14" t="n">
        <x:v>100734</x:v>
      </x:c>
      <x:c r="P438" t="str">
        <x:v>R-B</x:v>
      </x:c>
      <x:c r="Q438" s="12" t="n">
        <x:v>2.93</x:v>
      </x:c>
      <x:c r="R438" s="12" t="n">
        <x:v>3.18</x:v>
      </x:c>
      <x:c r="S438" s="12" t="n">
        <x:v>3.67</x:v>
      </x:c>
      <x:c r="T438" s="12" t="n">
        <x:v>3.47</x:v>
      </x:c>
      <x:c r="U438" s="12" t="n">
        <x:v>3.56</x:v>
      </x:c>
      <x:c r="V438" s="12" t="n">
        <x:v>3.95</x:v>
      </x:c>
      <x:c r="W438" s="12" t="n">
        <x:f>ROUND((Q438*0.24)+(R438*0.22)+(S438*0.16)+(T438*0.18)+(U438*0.10)+(V438*0.10),2)</x:f>
        <x:v>3.37</x:v>
      </x:c>
      <x:c r="X438" t="str">
        <x:f>IF(W438&gt;=3.55,"Pass","Fail")</x:f>
        <x:v>Fail</x:v>
      </x:c>
      <x:c r="Y438" t="str">
        <x:v>material looks wrong</x:v>
      </x:c>
      <x:c r="Z438" t="str">
        <x:v>QA note: This should fail the instructional bar. The model gestures toward the task, but the failure mode prevents a learner from trusting the technique: material looks wrong. I would keep the same camera angle but ask for a tighter view of the contact point. The baseline prompt is likely under-specifying the tool path.</x:v>
      </x:c>
      <x:c r="AA438" t="str">
        <x:v>Break the action into start, contact, movement, and finish; ban extra tools and hand morphing.</x:v>
      </x:c>
      <x:c r="AB438" t="str">
        <x:v>Medium</x:v>
      </x:c>
      <x:c r="AC438" t="str"/>
      <x:c r="AD438" t="str">
        <x:v>Planning dataset only; scores are plausible placeholders, not vendor claims.</x:v>
      </x:c>
    </x:row>
    <x:row r="439">
      <x:c r="A439" t="str">
        <x:v>S073-Vidu-DIR</x:v>
      </x:c>
      <x:c r="B439" t="str">
        <x:v>S073</x:v>
      </x:c>
      <x:c r="C439" t="str">
        <x:v>Painting</x:v>
      </x:c>
      <x:c r="D439" t="str">
        <x:v>cabinet finish</x:v>
      </x:c>
      <x:c r="E439" t="str">
        <x:v>brushing</x:v>
      </x:c>
      <x:c r="F439" t="n">
        <x:v>3</x:v>
      </x:c>
      <x:c r="G439" t="str">
        <x:v>brush paint into a cabinet door rail without pooling</x:v>
      </x:c>
      <x:c r="H439" t="str">
        <x:v>small brush</x:v>
      </x:c>
      <x:c r="I439" t="str">
        <x:v>cabinet door rail</x:v>
      </x:c>
      <x:c r="J439" t="str">
        <x:v>Vidu 2.0</x:v>
      </x:c>
      <x:c r="K439" t="str">
        <x:v>Direct Natural Language</x:v>
      </x:c>
      <x:c r="L439" t="str">
        <x:v>Baseline wording only; no explicit decomposition.</x:v>
      </x:c>
      <x:c r="M439" t="str">
        <x:v>Close-up realistic instructional DIY video: brush paint into a cabinet door rail without pooling. Show small brush working on cabinet door rail. Hands visible, stable camera, no text overlay, neutral shop lighting.</x:v>
      </x:c>
      <x:c r="N439" s="14" t="n">
        <x:v>5</x:v>
      </x:c>
      <x:c r="O439" s="14" t="n">
        <x:v>100735</x:v>
      </x:c>
      <x:c r="P439" t="str">
        <x:v>R-A</x:v>
      </x:c>
      <x:c r="Q439" s="12" t="n">
        <x:v>3.38</x:v>
      </x:c>
      <x:c r="R439" s="12" t="n">
        <x:v>2.82</x:v>
      </x:c>
      <x:c r="S439" s="12" t="n">
        <x:v>3.67</x:v>
      </x:c>
      <x:c r="T439" s="12" t="n">
        <x:v>2.89</x:v>
      </x:c>
      <x:c r="U439" s="12" t="n">
        <x:v>3.37</x:v>
      </x:c>
      <x:c r="V439" s="12" t="n">
        <x:v>2.97</x:v>
      </x:c>
      <x:c r="W439" s="12" t="n">
        <x:f>ROUND((Q439*0.24)+(R439*0.22)+(S439*0.16)+(T439*0.18)+(U439*0.10)+(V439*0.10),2)</x:f>
        <x:v>3.17</x:v>
      </x:c>
      <x:c r="X439" t="str">
        <x:f>IF(W439&gt;=3.55,"Pass","Fail")</x:f>
        <x:v>Fail</x:v>
      </x:c>
      <x:c r="Y439" t="str">
        <x:v>object morphs</x:v>
      </x:c>
      <x:c r="Z439" t="str">
        <x:v>Human check: A reviewer would likely reject this. It may be visually attractive, but the tool/object relationship breaks during the important moment. The prompt should prioritize hand path over cinematic lighting. The baseline prompt is likely under-specifying the tool path.</x:v>
      </x:c>
      <x:c r="AA439" t="str">
        <x:v>Ask for a static close-up and require the small brush to touch the cabinet door rail before any motion starts.</x:v>
      </x:c>
      <x:c r="AB439" t="str">
        <x:v>Medium</x:v>
      </x:c>
      <x:c r="AC439" t="str"/>
      <x:c r="AD439" t="str">
        <x:v>Mock rater record for experiment design; audit against real video outputs before publication.</x:v>
      </x:c>
    </x:row>
    <x:row r="440">
      <x:c r="A440" t="str">
        <x:v>S074-Veo-STR</x:v>
      </x:c>
      <x:c r="B440" t="str">
        <x:v>S074</x:v>
      </x:c>
      <x:c r="C440" t="str">
        <x:v>Painting</x:v>
      </x:c>
      <x:c r="D440" t="str">
        <x:v>staining</x:v>
      </x:c>
      <x:c r="E440" t="str">
        <x:v>wiping</x:v>
      </x:c>
      <x:c r="F440" t="n">
        <x:v>2</x:v>
      </x:c>
      <x:c r="G440" t="str">
        <x:v>wipe stain along the grain on a wood sample</x:v>
      </x:c>
      <x:c r="H440" t="str">
        <x:v>lint-free rag</x:v>
      </x:c>
      <x:c r="I440" t="str">
        <x:v>wood sample, stain</x:v>
      </x:c>
      <x:c r="J440" t="str">
        <x:v>Veo 3.1</x:v>
      </x:c>
      <x:c r="K440" t="str">
        <x:v>Structured Action-Object-Tool</x:v>
      </x:c>
      <x:c r="L440" t="str">
        <x:v>Action, tool, object, grip, contact point, start/end states.</x:v>
      </x:c>
      <x:c r="M440" t="str">
        <x:v>Close-up realistic instructional DIY video: wipe stain along the grain on a wood sample. Show lint-free rag working on wood sample, stain. Hands visible, stable camera, no text overlay, neutral shop lighting. Action=wiping; tool=lint-free rag; object/material=wood sample, stain; show tool-to-object contact; start state, motion, and finished state all visible.</x:v>
      </x:c>
      <x:c r="N440" s="14" t="n">
        <x:v>8</x:v>
      </x:c>
      <x:c r="O440" s="14" t="n">
        <x:v>100740</x:v>
      </x:c>
      <x:c r="P440" t="str">
        <x:v>R-C</x:v>
      </x:c>
      <x:c r="Q440" s="12" t="n">
        <x:v>4.27</x:v>
      </x:c>
      <x:c r="R440" s="12" t="n">
        <x:v>4.44</x:v>
      </x:c>
      <x:c r="S440" s="12" t="n">
        <x:v>4.6</x:v>
      </x:c>
      <x:c r="T440" s="12" t="n">
        <x:v>4.79</x:v>
      </x:c>
      <x:c r="U440" s="12" t="n">
        <x:v>3.85</x:v>
      </x:c>
      <x:c r="V440" s="12" t="n">
        <x:v>4.33</x:v>
      </x:c>
      <x:c r="W440" s="12" t="n">
        <x:f>ROUND((Q440*0.24)+(R440*0.22)+(S440*0.16)+(T440*0.18)+(U440*0.10)+(V440*0.10),2)</x:f>
        <x:v>4.42</x:v>
      </x:c>
      <x:c r="X440" t="str">
        <x:f>IF(W440&gt;=3.55,"Pass","Fail")</x:f>
        <x:v>Pass</x:v>
      </x:c>
      <x:c r="Y440" t="str">
        <x:v>minor continuity jump</x:v>
      </x:c>
      <x:c r="Z440" t="str">
        <x:v>Human check: Best part is the pacing: it gives enough time to understand wiping without turning into a beauty shot. Minor issue: occasional extra hand. The issue is subtle visually, but it matters because the clip is supposed to teach the technique. For this painting example, the main judgment is still whether the viewer can copy the motion.</x:v>
      </x:c>
      <x:c r="AA440" t="str">
        <x:v>Use sequential context only for continuity, not for adding previous/next steps into the frame.</x:v>
      </x:c>
      <x:c r="AB440" t="str">
        <x:v>High</x:v>
      </x:c>
      <x:c r="AC440" t="str"/>
      <x:c r="AD440" t="str">
        <x:v>Mock rater record for experiment design; audit against real video outputs before publication.</x:v>
      </x:c>
    </x:row>
    <x:row r="441">
      <x:c r="A441" t="str">
        <x:v>S074-Sora-STR</x:v>
      </x:c>
      <x:c r="B441" t="str">
        <x:v>S074</x:v>
      </x:c>
      <x:c r="C441" t="str">
        <x:v>Painting</x:v>
      </x:c>
      <x:c r="D441" t="str">
        <x:v>staining</x:v>
      </x:c>
      <x:c r="E441" t="str">
        <x:v>wiping</x:v>
      </x:c>
      <x:c r="F441" t="n">
        <x:v>2</x:v>
      </x:c>
      <x:c r="G441" t="str">
        <x:v>wipe stain along the grain on a wood sample</x:v>
      </x:c>
      <x:c r="H441" t="str">
        <x:v>lint-free rag</x:v>
      </x:c>
      <x:c r="I441" t="str">
        <x:v>wood sample, stain</x:v>
      </x:c>
      <x:c r="J441" t="str">
        <x:v>Sora 2 Pro</x:v>
      </x:c>
      <x:c r="K441" t="str">
        <x:v>Structured Action-Object-Tool</x:v>
      </x:c>
      <x:c r="L441" t="str">
        <x:v>Action, tool, object, grip, contact point, start/end states.</x:v>
      </x:c>
      <x:c r="M441" t="str">
        <x:v>Close-up realistic instructional DIY video: wipe stain along the grain on a wood sample. Show lint-free rag working on wood sample, stain. Hands visible, stable camera, no text overlay, neutral shop lighting. Action=wiping; tool=lint-free rag; object/material=wood sample, stain; show tool-to-object contact; start state, motion, and finished state all visible.</x:v>
      </x:c>
      <x:c r="N441" s="14" t="n">
        <x:v>8</x:v>
      </x:c>
      <x:c r="O441" s="14" t="n">
        <x:v>100741</x:v>
      </x:c>
      <x:c r="P441" t="str">
        <x:v>R-E</x:v>
      </x:c>
      <x:c r="Q441" s="12" t="n">
        <x:v>3.67</x:v>
      </x:c>
      <x:c r="R441" s="12" t="n">
        <x:v>4.03</x:v>
      </x:c>
      <x:c r="S441" s="12" t="n">
        <x:v>3.88</x:v>
      </x:c>
      <x:c r="T441" s="12" t="n">
        <x:v>3.77</x:v>
      </x:c>
      <x:c r="U441" s="12" t="n">
        <x:v>4.05</x:v>
      </x:c>
      <x:c r="V441" s="12" t="n">
        <x:v>4.41</x:v>
      </x:c>
      <x:c r="W441" s="12" t="n">
        <x:f>ROUND((Q441*0.24)+(R441*0.22)+(S441*0.16)+(T441*0.18)+(U441*0.10)+(V441*0.10),2)</x:f>
        <x:v>3.91</x:v>
      </x:c>
      <x:c r="X441" t="str">
        <x:f>IF(W441&gt;=3.55,"Pass","Fail")</x:f>
        <x:v>Pass</x:v>
      </x:c>
      <x:c r="Y441" t="str">
        <x:v>motion slightly compressed</x:v>
      </x:c>
      <x:c r="Z441" t="str">
        <x:v>Review note: The intention is clear, especially if you already know the step. A novice might miss the key detail because this issue appears right where the action should be most explicit: motion slightly compressed. The next prompt should slow the final second instead of adding more scene detail. For this painting example, the main judgment is still whether the viewer can copy the motion.</x:v>
      </x:c>
      <x:c r="AA441" t="str">
        <x:v>Specify the exact contact point and do not allow the hand to cover it.</x:v>
      </x:c>
      <x:c r="AB441" t="str">
        <x:v>Medium-High</x:v>
      </x:c>
      <x:c r="AC441" t="str"/>
      <x:c r="AD441" t="str">
        <x:v>Planning dataset only; scores are plausible placeholders, not vendor claims.</x:v>
      </x:c>
    </x:row>
    <x:row r="442">
      <x:c r="A442" t="str">
        <x:v>S074-Runway-STR</x:v>
      </x:c>
      <x:c r="B442" t="str">
        <x:v>S074</x:v>
      </x:c>
      <x:c r="C442" t="str">
        <x:v>Painting</x:v>
      </x:c>
      <x:c r="D442" t="str">
        <x:v>staining</x:v>
      </x:c>
      <x:c r="E442" t="str">
        <x:v>wiping</x:v>
      </x:c>
      <x:c r="F442" t="n">
        <x:v>2</x:v>
      </x:c>
      <x:c r="G442" t="str">
        <x:v>wipe stain along the grain on a wood sample</x:v>
      </x:c>
      <x:c r="H442" t="str">
        <x:v>lint-free rag</x:v>
      </x:c>
      <x:c r="I442" t="str">
        <x:v>wood sample, stain</x:v>
      </x:c>
      <x:c r="J442" t="str">
        <x:v>Runway Gen-4.5</x:v>
      </x:c>
      <x:c r="K442" t="str">
        <x:v>Structured Action-Object-Tool</x:v>
      </x:c>
      <x:c r="L442" t="str">
        <x:v>Action, tool, object, grip, contact point, start/end states.</x:v>
      </x:c>
      <x:c r="M442" t="str">
        <x:v>Close-up realistic instructional DIY video: wipe stain along the grain on a wood sample. Show lint-free rag working on wood sample, stain. Hands visible, stable camera, no text overlay, neutral shop lighting. Action=wiping; tool=lint-free rag; object/material=wood sample, stain; show tool-to-object contact; start state, motion, and finished state all visible.</x:v>
      </x:c>
      <x:c r="N442" s="14" t="n">
        <x:v>5</x:v>
      </x:c>
      <x:c r="O442" s="14" t="n">
        <x:v>100742</x:v>
      </x:c>
      <x:c r="P442" t="str">
        <x:v>R-A</x:v>
      </x:c>
      <x:c r="Q442" s="12" t="n">
        <x:v>4.85</x:v>
      </x:c>
      <x:c r="R442" s="12" t="n">
        <x:v>4.31</x:v>
      </x:c>
      <x:c r="S442" s="12" t="n">
        <x:v>4.14</x:v>
      </x:c>
      <x:c r="T442" s="12" t="n">
        <x:v>4.17</x:v>
      </x:c>
      <x:c r="U442" s="12" t="n">
        <x:v>3.88</x:v>
      </x:c>
      <x:c r="V442" s="12" t="n">
        <x:v>4.15</x:v>
      </x:c>
      <x:c r="W442" s="12" t="n">
        <x:f>ROUND((Q442*0.24)+(R442*0.22)+(S442*0.16)+(T442*0.18)+(U442*0.10)+(V442*0.10),2)</x:f>
        <x:v>4.33</x:v>
      </x:c>
      <x:c r="X442" t="str">
        <x:f>IF(W442&gt;=3.55,"Pass","Fail")</x:f>
        <x:v>Pass</x:v>
      </x:c>
      <x:c r="Y442" t="str">
        <x:v>minor continuity jump</x:v>
      </x:c>
      <x:c r="Z442" t="str">
        <x:v>Rater note: Good continuity from frame to frame. The lint-free rag makes visual contact with the workpiece and the motion does not feel invented. The prompt should prioritize hand path over cinematic lighting. For this painting example, the main judgment is still whether the viewer can copy the motion.</x:v>
      </x:c>
      <x:c r="AA442" t="str">
        <x:v>Break the action into start, contact, movement, and finish; ban extra tools and hand morphing.</x:v>
      </x:c>
      <x:c r="AB442" t="str">
        <x:v>Medium</x:v>
      </x:c>
      <x:c r="AC442" t="str"/>
      <x:c r="AD442" t="str">
        <x:v>Mock rater record for experiment design; audit against real video outputs before publication.</x:v>
      </x:c>
    </x:row>
    <x:row r="443">
      <x:c r="A443" t="str">
        <x:v>S074-Kling-STR</x:v>
      </x:c>
      <x:c r="B443" t="str">
        <x:v>S074</x:v>
      </x:c>
      <x:c r="C443" t="str">
        <x:v>Painting</x:v>
      </x:c>
      <x:c r="D443" t="str">
        <x:v>staining</x:v>
      </x:c>
      <x:c r="E443" t="str">
        <x:v>wiping</x:v>
      </x:c>
      <x:c r="F443" t="n">
        <x:v>2</x:v>
      </x:c>
      <x:c r="G443" t="str">
        <x:v>wipe stain along the grain on a wood sample</x:v>
      </x:c>
      <x:c r="H443" t="str">
        <x:v>lint-free rag</x:v>
      </x:c>
      <x:c r="I443" t="str">
        <x:v>wood sample, stain</x:v>
      </x:c>
      <x:c r="J443" t="str">
        <x:v>Kling v3.0 (Replicate)</x:v>
      </x:c>
      <x:c r="K443" t="str">
        <x:v>Structured Action-Object-Tool</x:v>
      </x:c>
      <x:c r="L443" t="str">
        <x:v>Action, tool, object, grip, contact point, start/end states.</x:v>
      </x:c>
      <x:c r="M443" t="str">
        <x:v>Close-up realistic instructional DIY video: wipe stain along the grain on a wood sample. Show lint-free rag working on wood sample, stain. Hands visible, stable camera, no text overlay, neutral shop lighting. Action=wiping; tool=lint-free rag; object/material=wood sample, stain; show tool-to-object contact; start state, motion, and finished state all visible.</x:v>
      </x:c>
      <x:c r="N443" s="14" t="n">
        <x:v>10</x:v>
      </x:c>
      <x:c r="O443" s="14" t="n">
        <x:v>100743</x:v>
      </x:c>
      <x:c r="P443" t="str">
        <x:v>R-A</x:v>
      </x:c>
      <x:c r="Q443" s="12" t="n">
        <x:v>4.18</x:v>
      </x:c>
      <x:c r="R443" s="12" t="n">
        <x:v>4.09</x:v>
      </x:c>
      <x:c r="S443" s="12" t="n">
        <x:v>3.66</x:v>
      </x:c>
      <x:c r="T443" s="12" t="n">
        <x:v>3.68</x:v>
      </x:c>
      <x:c r="U443" s="12" t="n">
        <x:v>4.02</x:v>
      </x:c>
      <x:c r="V443" s="12" t="n">
        <x:v>4.31</x:v>
      </x:c>
      <x:c r="W443" s="12" t="n">
        <x:f>ROUND((Q443*0.24)+(R443*0.22)+(S443*0.16)+(T443*0.18)+(U443*0.10)+(V443*0.10),2)</x:f>
        <x:v>3.98</x:v>
      </x:c>
      <x:c r="X443" t="str">
        <x:f>IF(W443&gt;=3.55,"Pass","Fail")</x:f>
        <x:v>Pass</x:v>
      </x:c>
      <x:c r="Y443" t="str">
        <x:v>endpoint not visible</x:v>
      </x:c>
      <x:c r="Z443" t="str">
        <x:v>Review note: The intention is clear, especially if you already know the step. A novice might miss the key detail because this issue appears right where the action should be most explicit: endpoint not visible. I would keep the same camera angle but ask for a tighter view of the contact point. For this painting example, the main judgment is still whether the viewer can copy the motion.</x:v>
      </x:c>
      <x:c r="AA443" t="str">
        <x:v>Add a one-sentence end-state requirement: viewer must see the completed wiping result for one full second.</x:v>
      </x:c>
      <x:c r="AB443" t="str">
        <x:v>High</x:v>
      </x:c>
      <x:c r="AC443" t="str"/>
      <x:c r="AD443" t="str">
        <x:v>Planning dataset only; scores are plausible placeholders, not vendor claims.</x:v>
      </x:c>
    </x:row>
    <x:row r="444">
      <x:c r="A444" t="str">
        <x:v>S074-Pika-STR</x:v>
      </x:c>
      <x:c r="B444" t="str">
        <x:v>S074</x:v>
      </x:c>
      <x:c r="C444" t="str">
        <x:v>Painting</x:v>
      </x:c>
      <x:c r="D444" t="str">
        <x:v>staining</x:v>
      </x:c>
      <x:c r="E444" t="str">
        <x:v>wiping</x:v>
      </x:c>
      <x:c r="F444" t="n">
        <x:v>2</x:v>
      </x:c>
      <x:c r="G444" t="str">
        <x:v>wipe stain along the grain on a wood sample</x:v>
      </x:c>
      <x:c r="H444" t="str">
        <x:v>lint-free rag</x:v>
      </x:c>
      <x:c r="I444" t="str">
        <x:v>wood sample, stain</x:v>
      </x:c>
      <x:c r="J444" t="str">
        <x:v>Pika 2.2</x:v>
      </x:c>
      <x:c r="K444" t="str">
        <x:v>Structured Action-Object-Tool</x:v>
      </x:c>
      <x:c r="L444" t="str">
        <x:v>Action, tool, object, grip, contact point, start/end states.</x:v>
      </x:c>
      <x:c r="M444" t="str">
        <x:v>Close-up realistic instructional DIY video: wipe stain along the grain on a wood sample. Show lint-free rag working on wood sample, stain. Hands visible, stable camera, no text overlay, neutral shop lighting. Action=wiping; tool=lint-free rag; object/material=wood sample, stain; show tool-to-object contact; start state, motion, and finished state all visible.</x:v>
      </x:c>
      <x:c r="N444" s="14" t="n">
        <x:v>5</x:v>
      </x:c>
      <x:c r="O444" s="14" t="n">
        <x:v>100744</x:v>
      </x:c>
      <x:c r="P444" t="str">
        <x:v>R-B</x:v>
      </x:c>
      <x:c r="Q444" s="12" t="n">
        <x:v>3.36</x:v>
      </x:c>
      <x:c r="R444" s="12" t="n">
        <x:v>3.93</x:v>
      </x:c>
      <x:c r="S444" s="12" t="n">
        <x:v>3.93</x:v>
      </x:c>
      <x:c r="T444" s="12" t="n">
        <x:v>3.76</x:v>
      </x:c>
      <x:c r="U444" s="12" t="n">
        <x:v>3.85</x:v>
      </x:c>
      <x:c r="V444" s="12" t="n">
        <x:v>3.67</x:v>
      </x:c>
      <x:c r="W444" s="12" t="n">
        <x:f>ROUND((Q444*0.24)+(R444*0.22)+(S444*0.16)+(T444*0.18)+(U444*0.10)+(V444*0.10),2)</x:f>
        <x:v>3.73</x:v>
      </x:c>
      <x:c r="X444" t="str">
        <x:f>IF(W444&gt;=3.55,"Pass","Fail")</x:f>
        <x:v>Pass</x:v>
      </x:c>
      <x:c r="Y444" t="str">
        <x:v>endpoint not visible</x:v>
      </x:c>
      <x:c r="Z444" t="str">
        <x:v>Human check: Looks plausible at first glance. On a second pass, the wood sample, stain shifts slightly and the model seems to infer the outcome rather than show the full wiping. The next prompt should slow the final second instead of adding more scene detail. For this painting example, the main judgment is still whether the viewer can copy the motion.</x:v>
      </x:c>
      <x:c r="AA444" t="str">
        <x:v>Break the action into start, contact, movement, and finish; ban extra tools and hand morphing.</x:v>
      </x:c>
      <x:c r="AB444" t="str">
        <x:v>High</x:v>
      </x:c>
      <x:c r="AC444" t="str"/>
      <x:c r="AD444" t="str">
        <x:v>Planning dataset only; scores are plausible placeholders, not vendor claims.</x:v>
      </x:c>
    </x:row>
    <x:row r="445">
      <x:c r="A445" t="str">
        <x:v>S074-Vidu-STR</x:v>
      </x:c>
      <x:c r="B445" t="str">
        <x:v>S074</x:v>
      </x:c>
      <x:c r="C445" t="str">
        <x:v>Painting</x:v>
      </x:c>
      <x:c r="D445" t="str">
        <x:v>staining</x:v>
      </x:c>
      <x:c r="E445" t="str">
        <x:v>wiping</x:v>
      </x:c>
      <x:c r="F445" t="n">
        <x:v>2</x:v>
      </x:c>
      <x:c r="G445" t="str">
        <x:v>wipe stain along the grain on a wood sample</x:v>
      </x:c>
      <x:c r="H445" t="str">
        <x:v>lint-free rag</x:v>
      </x:c>
      <x:c r="I445" t="str">
        <x:v>wood sample, stain</x:v>
      </x:c>
      <x:c r="J445" t="str">
        <x:v>Vidu 2.0</x:v>
      </x:c>
      <x:c r="K445" t="str">
        <x:v>Structured Action-Object-Tool</x:v>
      </x:c>
      <x:c r="L445" t="str">
        <x:v>Action, tool, object, grip, contact point, start/end states.</x:v>
      </x:c>
      <x:c r="M445" t="str">
        <x:v>Close-up realistic instructional DIY video: wipe stain along the grain on a wood sample. Show lint-free rag working on wood sample, stain. Hands visible, stable camera, no text overlay, neutral shop lighting. Action=wiping; tool=lint-free rag; object/material=wood sample, stain; show tool-to-object contact; start state, motion, and finished state all visible.</x:v>
      </x:c>
      <x:c r="N445" s="14" t="n">
        <x:v>5</x:v>
      </x:c>
      <x:c r="O445" s="14" t="n">
        <x:v>100745</x:v>
      </x:c>
      <x:c r="P445" t="str">
        <x:v>R-A</x:v>
      </x:c>
      <x:c r="Q445" s="12" t="n">
        <x:v>3.85</x:v>
      </x:c>
      <x:c r="R445" s="12" t="n">
        <x:v>3.32</x:v>
      </x:c>
      <x:c r="S445" s="12" t="n">
        <x:v>3.57</x:v>
      </x:c>
      <x:c r="T445" s="12" t="n">
        <x:v>3.28</x:v>
      </x:c>
      <x:c r="U445" s="12" t="n">
        <x:v>3.15</x:v>
      </x:c>
      <x:c r="V445" s="12" t="n">
        <x:v>3.57</x:v>
      </x:c>
      <x:c r="W445" s="12" t="n">
        <x:f>ROUND((Q445*0.24)+(R445*0.22)+(S445*0.16)+(T445*0.18)+(U445*0.10)+(V445*0.10),2)</x:f>
        <x:v>3.49</x:v>
      </x:c>
      <x:c r="X445" t="str">
        <x:f>IF(W445&gt;=3.55,"Pass","Fail")</x:f>
        <x:v>Fail</x:v>
      </x:c>
      <x:c r="Y445" t="str">
        <x:v>object morphs</x:v>
      </x:c>
      <x:c r="Z445" t="str">
        <x:v>Rater note: This should fail the instructional bar. The model gestures toward the task, but the failure mode prevents a learner from trusting the technique: object morphs. The tool silhouette is acceptable; the mechanics are the weak part. For this painting example, the main judgment is still whether the viewer can copy the motion.</x:v>
      </x:c>
      <x:c r="AA445" t="str">
        <x:v>Specify the exact contact point and do not allow the hand to cover it.</x:v>
      </x:c>
      <x:c r="AB445" t="str">
        <x:v>High</x:v>
      </x:c>
      <x:c r="AC445" t="str"/>
      <x:c r="AD445" t="str">
        <x:v>Synthetic benchmark entry; generated clip URL should be filled after API run.</x:v>
      </x:c>
    </x:row>
    <x:row r="446">
      <x:c r="A446" t="str">
        <x:v>S075-Veo-MET</x:v>
      </x:c>
      <x:c r="B446" t="str">
        <x:v>S075</x:v>
      </x:c>
      <x:c r="C446" t="str">
        <x:v>Painting</x:v>
      </x:c>
      <x:c r="D446" t="str">
        <x:v>prep</x:v>
      </x:c>
      <x:c r="E446" t="str">
        <x:v>masking</x:v>
      </x:c>
      <x:c r="F446" t="n">
        <x:v>2</x:v>
      </x:c>
      <x:c r="G446" t="str">
        <x:v>mask a door knob with plastic before spraying</x:v>
      </x:c>
      <x:c r="H446" t="str">
        <x:v>masking plastic</x:v>
      </x:c>
      <x:c r="I446" t="str">
        <x:v>door knob</x:v>
      </x:c>
      <x:c r="J446" t="str">
        <x:v>Veo 3.1</x:v>
      </x:c>
      <x:c r="K446" t="str">
        <x:v>Metadata-Enriched</x:v>
      </x:c>
      <x:c r="L446" t="str">
        <x:v>Uses clipDescription, clipSummary, toolNames, suppliesNames, processTechniques, safetyEquipment.</x:v>
      </x:c>
      <x:c r="M446" t="str">
        <x:v>Close-up realistic instructional DIY video: mask a door knob with plastic before spraying. Show masking plastic working on door knob. Hands visible, stable camera, no text overlay, neutral shop lighting. clipDescription='mask a door knob with plastic before spraying'. clipSummary='one practical repair step'. toolNames='masking plastic'. suppliesNames='door knob'. processTechnique='masking'. Safety cue: use normal homeowner precautions and avoid risky shortcuts.</x:v>
      </x:c>
      <x:c r="N446" s="14" t="n">
        <x:v>8</x:v>
      </x:c>
      <x:c r="O446" s="14" t="n">
        <x:v>100750</x:v>
      </x:c>
      <x:c r="P446" t="str">
        <x:v>R-B</x:v>
      </x:c>
      <x:c r="Q446" s="12" t="n">
        <x:v>4.26</x:v>
      </x:c>
      <x:c r="R446" s="12" t="n">
        <x:v>4.13</x:v>
      </x:c>
      <x:c r="S446" s="12" t="n">
        <x:v>4.34</x:v>
      </x:c>
      <x:c r="T446" s="12" t="n">
        <x:v>4.3</x:v>
      </x:c>
      <x:c r="U446" s="12" t="n">
        <x:v>4.08</x:v>
      </x:c>
      <x:c r="V446" s="12" t="n">
        <x:v>4.49</x:v>
      </x:c>
      <x:c r="W446" s="12" t="n">
        <x:f>ROUND((Q446*0.24)+(R446*0.22)+(S446*0.16)+(T446*0.18)+(U446*0.10)+(V446*0.10),2)</x:f>
        <x:v>4.26</x:v>
      </x:c>
      <x:c r="X446" t="str">
        <x:f>IF(W446&gt;=3.55,"Pass","Fail")</x:f>
        <x:v>Pass</x:v>
      </x:c>
      <x:c r="Y446" t="str">
        <x:v>none</x:v>
      </x:c>
      <x:c r="Z446" t="str">
        <x:v>Rater note: Clear enough for a learner. The workpiece does not wander and the camera stays on the door knob; I would still add a freeze or caption after generation. The clip needs a verifier pass before it can enter the training pool. For this painting example, the main judgment is still whether the viewer can copy the motion.</x:v>
      </x:c>
      <x:c r="AA446" t="str">
        <x:v>No immediate re-run; keep as candidate and verify with a second rater.</x:v>
      </x:c>
      <x:c r="AB446" t="str">
        <x:v>Medium</x:v>
      </x:c>
      <x:c r="AC446" t="str"/>
      <x:c r="AD446" t="str">
        <x:v>Simulated pilot row for planning; replace with blinded ratings after generating actual clips.</x:v>
      </x:c>
    </x:row>
    <x:row r="447">
      <x:c r="A447" t="str">
        <x:v>S075-Sora-MET</x:v>
      </x:c>
      <x:c r="B447" t="str">
        <x:v>S075</x:v>
      </x:c>
      <x:c r="C447" t="str">
        <x:v>Painting</x:v>
      </x:c>
      <x:c r="D447" t="str">
        <x:v>prep</x:v>
      </x:c>
      <x:c r="E447" t="str">
        <x:v>masking</x:v>
      </x:c>
      <x:c r="F447" t="n">
        <x:v>2</x:v>
      </x:c>
      <x:c r="G447" t="str">
        <x:v>mask a door knob with plastic before spraying</x:v>
      </x:c>
      <x:c r="H447" t="str">
        <x:v>masking plastic</x:v>
      </x:c>
      <x:c r="I447" t="str">
        <x:v>door knob</x:v>
      </x:c>
      <x:c r="J447" t="str">
        <x:v>Sora 2 Pro</x:v>
      </x:c>
      <x:c r="K447" t="str">
        <x:v>Metadata-Enriched</x:v>
      </x:c>
      <x:c r="L447" t="str">
        <x:v>Uses clipDescription, clipSummary, toolNames, suppliesNames, processTechniques, safetyEquipment.</x:v>
      </x:c>
      <x:c r="M447" t="str">
        <x:v>Close-up realistic instructional DIY video: mask a door knob with plastic before spraying. Show masking plastic working on door knob. Hands visible, stable camera, no text overlay, neutral shop lighting. clipDescription='mask a door knob with plastic before spraying'. clipSummary='one practical repair step'. toolNames='masking plastic'. suppliesNames='door knob'. processTechnique='masking'. Safety cue: use normal homeowner precautions and avoid risky shortcuts.</x:v>
      </x:c>
      <x:c r="N447" s="14" t="n">
        <x:v>8</x:v>
      </x:c>
      <x:c r="O447" s="14" t="n">
        <x:v>100751</x:v>
      </x:c>
      <x:c r="P447" t="str">
        <x:v>R-E</x:v>
      </x:c>
      <x:c r="Q447" s="12" t="n">
        <x:v>3.99</x:v>
      </x:c>
      <x:c r="R447" s="12" t="n">
        <x:v>4.03</x:v>
      </x:c>
      <x:c r="S447" s="12" t="n">
        <x:v>4.31</x:v>
      </x:c>
      <x:c r="T447" s="12" t="n">
        <x:v>4.07</x:v>
      </x:c>
      <x:c r="U447" s="12" t="n">
        <x:v>4.11</x:v>
      </x:c>
      <x:c r="V447" s="12" t="n">
        <x:v>4.63</x:v>
      </x:c>
      <x:c r="W447" s="12" t="n">
        <x:f>ROUND((Q447*0.24)+(R447*0.22)+(S447*0.16)+(T447*0.18)+(U447*0.10)+(V447*0.10),2)</x:f>
        <x:v>4.14</x:v>
      </x:c>
      <x:c r="X447" t="str">
        <x:f>IF(W447&gt;=3.55,"Pass","Fail")</x:f>
        <x:v>Pass</x:v>
      </x:c>
      <x:c r="Y447" t="str">
        <x:v>minor continuity jump</x:v>
      </x:c>
      <x:c r="Z447" t="str">
        <x:v>Clip review: Usable, but I would not show it without review. The masking plastic is recognizable, yet the exact contact point is hard to see when the hand crosses the frame. This would be safer as a reference-aided run than a text-only run. For this painting example, the main judgment is still whether the viewer can copy the motion.</x:v>
      </x:c>
      <x:c r="AA447" t="str">
        <x:v>Ask for a static close-up and require the masking plastic to touch the door knob before any motion starts.</x:v>
      </x:c>
      <x:c r="AB447" t="str">
        <x:v>High</x:v>
      </x:c>
      <x:c r="AC447" t="str"/>
      <x:c r="AD447" t="str">
        <x:v>Simulated pilot row for planning; replace with blinded ratings after generating actual clips.</x:v>
      </x:c>
    </x:row>
    <x:row r="448">
      <x:c r="A448" t="str">
        <x:v>S075-Runway-MET</x:v>
      </x:c>
      <x:c r="B448" t="str">
        <x:v>S075</x:v>
      </x:c>
      <x:c r="C448" t="str">
        <x:v>Painting</x:v>
      </x:c>
      <x:c r="D448" t="str">
        <x:v>prep</x:v>
      </x:c>
      <x:c r="E448" t="str">
        <x:v>masking</x:v>
      </x:c>
      <x:c r="F448" t="n">
        <x:v>2</x:v>
      </x:c>
      <x:c r="G448" t="str">
        <x:v>mask a door knob with plastic before spraying</x:v>
      </x:c>
      <x:c r="H448" t="str">
        <x:v>masking plastic</x:v>
      </x:c>
      <x:c r="I448" t="str">
        <x:v>door knob</x:v>
      </x:c>
      <x:c r="J448" t="str">
        <x:v>Runway Gen-4.5</x:v>
      </x:c>
      <x:c r="K448" t="str">
        <x:v>Metadata-Enriched</x:v>
      </x:c>
      <x:c r="L448" t="str">
        <x:v>Uses clipDescription, clipSummary, toolNames, suppliesNames, processTechniques, safetyEquipment.</x:v>
      </x:c>
      <x:c r="M448" t="str">
        <x:v>Close-up realistic instructional DIY video: mask a door knob with plastic before spraying. Show masking plastic working on door knob. Hands visible, stable camera, no text overlay, neutral shop lighting. clipDescription='mask a door knob with plastic before spraying'. clipSummary='one practical repair step'. toolNames='masking plastic'. suppliesNames='door knob'. processTechnique='masking'. Safety cue: use normal homeowner precautions and avoid risky shortcuts.</x:v>
      </x:c>
      <x:c r="N448" s="14" t="n">
        <x:v>5</x:v>
      </x:c>
      <x:c r="O448" s="14" t="n">
        <x:v>100752</x:v>
      </x:c>
      <x:c r="P448" t="str">
        <x:v>R-C</x:v>
      </x:c>
      <x:c r="Q448" s="12" t="n">
        <x:v>3.92</x:v>
      </x:c>
      <x:c r="R448" s="12" t="n">
        <x:v>4.05</x:v>
      </x:c>
      <x:c r="S448" s="12" t="n">
        <x:v>4</x:v>
      </x:c>
      <x:c r="T448" s="12" t="n">
        <x:v>4.11</x:v>
      </x:c>
      <x:c r="U448" s="12" t="n">
        <x:v>3.6</x:v>
      </x:c>
      <x:c r="V448" s="12" t="n">
        <x:v>3.89</x:v>
      </x:c>
      <x:c r="W448" s="12" t="n">
        <x:f>ROUND((Q448*0.24)+(R448*0.22)+(S448*0.16)+(T448*0.18)+(U448*0.10)+(V448*0.10),2)</x:f>
        <x:v>3.96</x:v>
      </x:c>
      <x:c r="X448" t="str">
        <x:f>IF(W448&gt;=3.55,"Pass","Fail")</x:f>
        <x:v>Pass</x:v>
      </x:c>
      <x:c r="Y448" t="str">
        <x:v>tool pose a little soft</x:v>
      </x:c>
      <x:c r="Z448" t="str">
        <x:v>Human check: The clip has the right ingredients but not quite the right mechanics. It needs a tighter prompt about grip, contact, and the end position. The clip needs a verifier pass before it can enter the training pool. For this painting example, the main judgment is still whether the viewer can copy the motion.</x:v>
      </x:c>
      <x:c r="AA448" t="str">
        <x:v>Ask for a static close-up and require the masking plastic to touch the door knob before any motion starts.</x:v>
      </x:c>
      <x:c r="AB448" t="str">
        <x:v>High</x:v>
      </x:c>
      <x:c r="AC448" t="str"/>
      <x:c r="AD448" t="str">
        <x:v>Mock rater record for experiment design; audit against real video outputs before publication.</x:v>
      </x:c>
    </x:row>
    <x:row r="449">
      <x:c r="A449" t="str">
        <x:v>S075-Kling-MET</x:v>
      </x:c>
      <x:c r="B449" t="str">
        <x:v>S075</x:v>
      </x:c>
      <x:c r="C449" t="str">
        <x:v>Painting</x:v>
      </x:c>
      <x:c r="D449" t="str">
        <x:v>prep</x:v>
      </x:c>
      <x:c r="E449" t="str">
        <x:v>masking</x:v>
      </x:c>
      <x:c r="F449" t="n">
        <x:v>2</x:v>
      </x:c>
      <x:c r="G449" t="str">
        <x:v>mask a door knob with plastic before spraying</x:v>
      </x:c>
      <x:c r="H449" t="str">
        <x:v>masking plastic</x:v>
      </x:c>
      <x:c r="I449" t="str">
        <x:v>door knob</x:v>
      </x:c>
      <x:c r="J449" t="str">
        <x:v>Kling v3.0 (Replicate)</x:v>
      </x:c>
      <x:c r="K449" t="str">
        <x:v>Metadata-Enriched</x:v>
      </x:c>
      <x:c r="L449" t="str">
        <x:v>Uses clipDescription, clipSummary, toolNames, suppliesNames, processTechniques, safetyEquipment.</x:v>
      </x:c>
      <x:c r="M449" t="str">
        <x:v>Close-up realistic instructional DIY video: mask a door knob with plastic before spraying. Show masking plastic working on door knob. Hands visible, stable camera, no text overlay, neutral shop lighting. clipDescription='mask a door knob with plastic before spraying'. clipSummary='one practical repair step'. toolNames='masking plastic'. suppliesNames='door knob'. processTechnique='masking'. Safety cue: use normal homeowner precautions and avoid risky shortcuts.</x:v>
      </x:c>
      <x:c r="N449" s="14" t="n">
        <x:v>10</x:v>
      </x:c>
      <x:c r="O449" s="14" t="n">
        <x:v>100753</x:v>
      </x:c>
      <x:c r="P449" t="str">
        <x:v>R-B</x:v>
      </x:c>
      <x:c r="Q449" s="12" t="n">
        <x:v>3.84</x:v>
      </x:c>
      <x:c r="R449" s="12" t="n">
        <x:v>4.36</x:v>
      </x:c>
      <x:c r="S449" s="12" t="n">
        <x:v>3.6</x:v>
      </x:c>
      <x:c r="T449" s="12" t="n">
        <x:v>3.87</x:v>
      </x:c>
      <x:c r="U449" s="12" t="n">
        <x:v>4.22</x:v>
      </x:c>
      <x:c r="V449" s="12" t="n">
        <x:v>4.06</x:v>
      </x:c>
      <x:c r="W449" s="12" t="n">
        <x:f>ROUND((Q449*0.24)+(R449*0.22)+(S449*0.16)+(T449*0.18)+(U449*0.10)+(V449*0.10),2)</x:f>
        <x:v>3.98</x:v>
      </x:c>
      <x:c r="X449" t="str">
        <x:f>IF(W449&gt;=3.55,"Pass","Fail")</x:f>
        <x:v>Pass</x:v>
      </x:c>
      <x:c r="Y449" t="str">
        <x:v>contact point hidden</x:v>
      </x:c>
      <x:c r="Z449" t="str">
        <x:v>Rater note: The intention is clear, especially if you already know the step. A novice might miss the key detail because this issue appears right where the action should be most explicit: contact point hidden. On a small preview it might pass, but full-screen review exposes the issue. For this painting example, the main judgment is still whether the viewer can copy the motion.</x:v>
      </x:c>
      <x:c r="AA449" t="str">
        <x:v>Ask for a static close-up and require the masking plastic to touch the door knob before any motion starts.</x:v>
      </x:c>
      <x:c r="AB449" t="str">
        <x:v>Medium</x:v>
      </x:c>
      <x:c r="AC449" t="str"/>
      <x:c r="AD449" t="str">
        <x:v>Planning dataset only; scores are plausible placeholders, not vendor claims.</x:v>
      </x:c>
    </x:row>
    <x:row r="450">
      <x:c r="A450" t="str">
        <x:v>S075-Pika-MET</x:v>
      </x:c>
      <x:c r="B450" t="str">
        <x:v>S075</x:v>
      </x:c>
      <x:c r="C450" t="str">
        <x:v>Painting</x:v>
      </x:c>
      <x:c r="D450" t="str">
        <x:v>prep</x:v>
      </x:c>
      <x:c r="E450" t="str">
        <x:v>masking</x:v>
      </x:c>
      <x:c r="F450" t="n">
        <x:v>2</x:v>
      </x:c>
      <x:c r="G450" t="str">
        <x:v>mask a door knob with plastic before spraying</x:v>
      </x:c>
      <x:c r="H450" t="str">
        <x:v>masking plastic</x:v>
      </x:c>
      <x:c r="I450" t="str">
        <x:v>door knob</x:v>
      </x:c>
      <x:c r="J450" t="str">
        <x:v>Pika 2.2</x:v>
      </x:c>
      <x:c r="K450" t="str">
        <x:v>Metadata-Enriched</x:v>
      </x:c>
      <x:c r="L450" t="str">
        <x:v>Uses clipDescription, clipSummary, toolNames, suppliesNames, processTechniques, safetyEquipment.</x:v>
      </x:c>
      <x:c r="M450" t="str">
        <x:v>Close-up realistic instructional DIY video: mask a door knob with plastic before spraying. Show masking plastic working on door knob. Hands visible, stable camera, no text overlay, neutral shop lighting. clipDescription='mask a door knob with plastic before spraying'. clipSummary='one practical repair step'. toolNames='masking plastic'. suppliesNames='door knob'. processTechnique='masking'. Safety cue: use normal homeowner precautions and avoid risky shortcuts.</x:v>
      </x:c>
      <x:c r="N450" s="14" t="n">
        <x:v>5</x:v>
      </x:c>
      <x:c r="O450" s="14" t="n">
        <x:v>100754</x:v>
      </x:c>
      <x:c r="P450" t="str">
        <x:v>R-D</x:v>
      </x:c>
      <x:c r="Q450" s="12" t="n">
        <x:v>3.62</x:v>
      </x:c>
      <x:c r="R450" s="12" t="n">
        <x:v>3.09</x:v>
      </x:c>
      <x:c r="S450" s="12" t="n">
        <x:v>3.83</x:v>
      </x:c>
      <x:c r="T450" s="12" t="n">
        <x:v>3.38</x:v>
      </x:c>
      <x:c r="U450" s="12" t="n">
        <x:v>3.74</x:v>
      </x:c>
      <x:c r="V450" s="12" t="n">
        <x:v>4.27</x:v>
      </x:c>
      <x:c r="W450" s="12" t="n">
        <x:f>ROUND((Q450*0.24)+(R450*0.22)+(S450*0.16)+(T450*0.18)+(U450*0.10)+(V450*0.10),2)</x:f>
        <x:v>3.57</x:v>
      </x:c>
      <x:c r="X450" t="str">
        <x:f>IF(W450&gt;=3.55,"Pass","Fail")</x:f>
        <x:v>Pass</x:v>
      </x:c>
      <x:c r="Y450" t="str">
        <x:v>camera blocks work</x:v>
      </x:c>
      <x:c r="Z450" t="str">
        <x:v>QA note: Looks plausible at first glance. On a second pass, the door knob shifts slightly and the model seems to infer the outcome rather than show the full masking. The mistake appears late, so a simple thumbnail review would probably miss it. For this painting example, the main judgment is still whether the viewer can copy the motion.</x:v>
      </x:c>
      <x:c r="AA450" t="str">
        <x:v>Specify the exact contact point and do not allow the hand to cover it.</x:v>
      </x:c>
      <x:c r="AB450" t="str">
        <x:v>High</x:v>
      </x:c>
      <x:c r="AC450" t="str"/>
      <x:c r="AD450" t="str">
        <x:v>Mock rater record for experiment design; audit against real video outputs before publication.</x:v>
      </x:c>
    </x:row>
    <x:row r="451">
      <x:c r="A451" t="str">
        <x:v>S075-Vidu-MET</x:v>
      </x:c>
      <x:c r="B451" t="str">
        <x:v>S075</x:v>
      </x:c>
      <x:c r="C451" t="str">
        <x:v>Painting</x:v>
      </x:c>
      <x:c r="D451" t="str">
        <x:v>prep</x:v>
      </x:c>
      <x:c r="E451" t="str">
        <x:v>masking</x:v>
      </x:c>
      <x:c r="F451" t="n">
        <x:v>2</x:v>
      </x:c>
      <x:c r="G451" t="str">
        <x:v>mask a door knob with plastic before spraying</x:v>
      </x:c>
      <x:c r="H451" t="str">
        <x:v>masking plastic</x:v>
      </x:c>
      <x:c r="I451" t="str">
        <x:v>door knob</x:v>
      </x:c>
      <x:c r="J451" t="str">
        <x:v>Vidu 2.0</x:v>
      </x:c>
      <x:c r="K451" t="str">
        <x:v>Metadata-Enriched</x:v>
      </x:c>
      <x:c r="L451" t="str">
        <x:v>Uses clipDescription, clipSummary, toolNames, suppliesNames, processTechniques, safetyEquipment.</x:v>
      </x:c>
      <x:c r="M451" t="str">
        <x:v>Close-up realistic instructional DIY video: mask a door knob with plastic before spraying. Show masking plastic working on door knob. Hands visible, stable camera, no text overlay, neutral shop lighting. clipDescription='mask a door knob with plastic before spraying'. clipSummary='one practical repair step'. toolNames='masking plastic'. suppliesNames='door knob'. processTechnique='masking'. Safety cue: use normal homeowner precautions and avoid risky shortcuts.</x:v>
      </x:c>
      <x:c r="N451" s="14" t="n">
        <x:v>5</x:v>
      </x:c>
      <x:c r="O451" s="14" t="n">
        <x:v>100755</x:v>
      </x:c>
      <x:c r="P451" t="str">
        <x:v>R-A</x:v>
      </x:c>
      <x:c r="Q451" s="12" t="n">
        <x:v>3.53</x:v>
      </x:c>
      <x:c r="R451" s="12" t="n">
        <x:v>3.22</x:v>
      </x:c>
      <x:c r="S451" s="12" t="n">
        <x:v>3.28</x:v>
      </x:c>
      <x:c r="T451" s="12" t="n">
        <x:v>3.4</x:v>
      </x:c>
      <x:c r="U451" s="12" t="n">
        <x:v>3.24</x:v>
      </x:c>
      <x:c r="V451" s="12" t="n">
        <x:v>3.54</x:v>
      </x:c>
      <x:c r="W451" s="12" t="n">
        <x:f>ROUND((Q451*0.24)+(R451*0.22)+(S451*0.16)+(T451*0.18)+(U451*0.10)+(V451*0.10),2)</x:f>
        <x:v>3.37</x:v>
      </x:c>
      <x:c r="X451" t="str">
        <x:f>IF(W451&gt;=3.55,"Pass","Fail")</x:f>
        <x:v>Fail</x:v>
      </x:c>
      <x:c r="Y451" t="str">
        <x:v>material looks wrong</x:v>
      </x:c>
      <x:c r="Z451" t="str">
        <x:v>Rater note: Too much is being implied. The masking plastic and door knob are in the scene, but the motion does not demonstrate the actual repair step. This would be safer as a reference-aided run than a text-only run. For this painting example, the main judgment is still whether the viewer can copy the motion.</x:v>
      </x:c>
      <x:c r="AA451" t="str">
        <x:v>Move safety language earlier in the prompt and remove cinematic camera instructions.</x:v>
      </x:c>
      <x:c r="AB451" t="str">
        <x:v>Low</x:v>
      </x:c>
      <x:c r="AC451" t="str"/>
      <x:c r="AD451" t="str">
        <x:v>Planning dataset only; scores are plausible placeholders, not vendor claims.</x:v>
      </x:c>
    </x:row>
    <x:row r="452">
      <x:c r="A452" t="str">
        <x:v>S076-Veo-REF</x:v>
      </x:c>
      <x:c r="B452" t="str">
        <x:v>S076</x:v>
      </x:c>
      <x:c r="C452" t="str">
        <x:v>Painting</x:v>
      </x:c>
      <x:c r="D452" t="str">
        <x:v>cleanup</x:v>
      </x:c>
      <x:c r="E452" t="str">
        <x:v>washing</x:v>
      </x:c>
      <x:c r="F452" t="n">
        <x:v>2</x:v>
      </x:c>
      <x:c r="G452" t="str">
        <x:v>rinse a latex paint brush until water runs clear</x:v>
      </x:c>
      <x:c r="H452" t="str">
        <x:v>paint brush</x:v>
      </x:c>
      <x:c r="I452" t="str">
        <x:v>sink, brush bristles</x:v>
      </x:c>
      <x:c r="J452" t="str">
        <x:v>Veo 3.1</x:v>
      </x:c>
      <x:c r="K452" t="str">
        <x:v>Reference-Guided</x:v>
      </x:c>
      <x:c r="L452" t="str">
        <x:v>Adds reference-tool/image cue and brand-agnostic visual constraints.</x:v>
      </x:c>
      <x:c r="M452" t="str">
        <x:v>Close-up realistic instructional DIY video: rinse a latex paint brush until water runs clear. Show paint brush working on sink, brush bristles. Hands visible, stable camera, no text overlay, neutral shop lighting. Use a generic, brand-agnostic visual reference for the paint brush; preserve the tool shape and scale; the paint brush must remain in contact with sink, brush bristles during the key motion.</x:v>
      </x:c>
      <x:c r="N452" s="14" t="n">
        <x:v>8</x:v>
      </x:c>
      <x:c r="O452" s="14" t="n">
        <x:v>100760</x:v>
      </x:c>
      <x:c r="P452" t="str">
        <x:v>R-B</x:v>
      </x:c>
      <x:c r="Q452" s="12" t="n">
        <x:v>4.33</x:v>
      </x:c>
      <x:c r="R452" s="12" t="n">
        <x:v>4.21</x:v>
      </x:c>
      <x:c r="S452" s="12" t="n">
        <x:v>4.61</x:v>
      </x:c>
      <x:c r="T452" s="12" t="n">
        <x:v>4.61</x:v>
      </x:c>
      <x:c r="U452" s="12" t="n">
        <x:v>4.3</x:v>
      </x:c>
      <x:c r="V452" s="12" t="n">
        <x:v>4.8</x:v>
      </x:c>
      <x:c r="W452" s="12" t="n">
        <x:f>ROUND((Q452*0.24)+(R452*0.22)+(S452*0.16)+(T452*0.18)+(U452*0.10)+(V452*0.10),2)</x:f>
        <x:v>4.44</x:v>
      </x:c>
      <x:c r="X452" t="str">
        <x:f>IF(W452&gt;=3.55,"Pass","Fail")</x:f>
        <x:v>Pass</x:v>
      </x:c>
      <x:c r="Y452" t="str">
        <x:v>none</x:v>
      </x:c>
      <x:c r="Z452" t="str">
        <x:v>Human check: This one would probably pass a quick review. The paint brush stays believable, the start and end states are easy to read, and the only nit is that occasional extra hand. The most important fix is to show the before-and-after state without a cut. For this painting example, the main judgment is still whether the viewer can copy the motion.</x:v>
      </x:c>
      <x:c r="AA452" t="str">
        <x:v>No immediate re-run; keep as candidate and verify with a second rater.</x:v>
      </x:c>
      <x:c r="AB452" t="str">
        <x:v>High</x:v>
      </x:c>
      <x:c r="AC452" t="str"/>
      <x:c r="AD452" t="str">
        <x:v>Mock rater record for experiment design; audit against real video outputs before publication.</x:v>
      </x:c>
    </x:row>
    <x:row r="453">
      <x:c r="A453" t="str">
        <x:v>S076-Sora-REF</x:v>
      </x:c>
      <x:c r="B453" t="str">
        <x:v>S076</x:v>
      </x:c>
      <x:c r="C453" t="str">
        <x:v>Painting</x:v>
      </x:c>
      <x:c r="D453" t="str">
        <x:v>cleanup</x:v>
      </x:c>
      <x:c r="E453" t="str">
        <x:v>washing</x:v>
      </x:c>
      <x:c r="F453" t="n">
        <x:v>2</x:v>
      </x:c>
      <x:c r="G453" t="str">
        <x:v>rinse a latex paint brush until water runs clear</x:v>
      </x:c>
      <x:c r="H453" t="str">
        <x:v>paint brush</x:v>
      </x:c>
      <x:c r="I453" t="str">
        <x:v>sink, brush bristles</x:v>
      </x:c>
      <x:c r="J453" t="str">
        <x:v>Sora 2 Pro</x:v>
      </x:c>
      <x:c r="K453" t="str">
        <x:v>Reference-Guided</x:v>
      </x:c>
      <x:c r="L453" t="str">
        <x:v>Adds reference-tool/image cue and brand-agnostic visual constraints.</x:v>
      </x:c>
      <x:c r="M453" t="str">
        <x:v>Close-up realistic instructional DIY video: rinse a latex paint brush until water runs clear. Show paint brush working on sink, brush bristles. Hands visible, stable camera, no text overlay, neutral shop lighting. Use a generic, brand-agnostic visual reference for the paint brush; preserve the tool shape and scale; the paint brush must remain in contact with sink, brush bristles during the key motion.</x:v>
      </x:c>
      <x:c r="N453" s="14" t="n">
        <x:v>8</x:v>
      </x:c>
      <x:c r="O453" s="14" t="n">
        <x:v>100761</x:v>
      </x:c>
      <x:c r="P453" t="str">
        <x:v>R-A</x:v>
      </x:c>
      <x:c r="Q453" s="12" t="n">
        <x:v>4.27</x:v>
      </x:c>
      <x:c r="R453" s="12" t="n">
        <x:v>4.72</x:v>
      </x:c>
      <x:c r="S453" s="12" t="n">
        <x:v>4.2</x:v>
      </x:c>
      <x:c r="T453" s="12" t="n">
        <x:v>4.48</x:v>
      </x:c>
      <x:c r="U453" s="12" t="n">
        <x:v>4.13</x:v>
      </x:c>
      <x:c r="V453" s="12" t="n">
        <x:v>3.71</x:v>
      </x:c>
      <x:c r="W453" s="12" t="n">
        <x:f>ROUND((Q453*0.24)+(R453*0.22)+(S453*0.16)+(T453*0.18)+(U453*0.10)+(V453*0.10),2)</x:f>
        <x:v>4.33</x:v>
      </x:c>
      <x:c r="X453" t="str">
        <x:f>IF(W453&gt;=3.55,"Pass","Fail")</x:f>
        <x:v>Pass</x:v>
      </x:c>
      <x:c r="Y453" t="str">
        <x:v>minor continuity jump</x:v>
      </x:c>
      <x:c r="Z453" t="str">
        <x:v>Rater note: This one would probably pass a quick review. The paint brush stays believable, the start and end states are easy to read, and the only nit is that implied contact instead of visible contact. This reads better as a teaser than as an instructional clip. For this painting example, the main judgment is still whether the viewer can copy the motion.</x:v>
      </x:c>
      <x:c r="AA453" t="str">
        <x:v>Use sequential context only for continuity, not for adding previous/next steps into the frame.</x:v>
      </x:c>
      <x:c r="AB453" t="str">
        <x:v>High</x:v>
      </x:c>
      <x:c r="AC453" t="str"/>
      <x:c r="AD453" t="str">
        <x:v>Planning dataset only; scores are plausible placeholders, not vendor claims.</x:v>
      </x:c>
    </x:row>
    <x:row r="454">
      <x:c r="A454" t="str">
        <x:v>S076-Runway-REF</x:v>
      </x:c>
      <x:c r="B454" t="str">
        <x:v>S076</x:v>
      </x:c>
      <x:c r="C454" t="str">
        <x:v>Painting</x:v>
      </x:c>
      <x:c r="D454" t="str">
        <x:v>cleanup</x:v>
      </x:c>
      <x:c r="E454" t="str">
        <x:v>washing</x:v>
      </x:c>
      <x:c r="F454" t="n">
        <x:v>2</x:v>
      </x:c>
      <x:c r="G454" t="str">
        <x:v>rinse a latex paint brush until water runs clear</x:v>
      </x:c>
      <x:c r="H454" t="str">
        <x:v>paint brush</x:v>
      </x:c>
      <x:c r="I454" t="str">
        <x:v>sink, brush bristles</x:v>
      </x:c>
      <x:c r="J454" t="str">
        <x:v>Runway Gen-4.5</x:v>
      </x:c>
      <x:c r="K454" t="str">
        <x:v>Reference-Guided</x:v>
      </x:c>
      <x:c r="L454" t="str">
        <x:v>Adds reference-tool/image cue and brand-agnostic visual constraints.</x:v>
      </x:c>
      <x:c r="M454" t="str">
        <x:v>Close-up realistic instructional DIY video: rinse a latex paint brush until water runs clear. Show paint brush working on sink, brush bristles. Hands visible, stable camera, no text overlay, neutral shop lighting. Use a generic, brand-agnostic visual reference for the paint brush; preserve the tool shape and scale; the paint brush must remain in contact with sink, brush bristles during the key motion.</x:v>
      </x:c>
      <x:c r="N454" s="14" t="n">
        <x:v>5</x:v>
      </x:c>
      <x:c r="O454" s="14" t="n">
        <x:v>100762</x:v>
      </x:c>
      <x:c r="P454" t="str">
        <x:v>R-D</x:v>
      </x:c>
      <x:c r="Q454" s="12" t="n">
        <x:v>4.38</x:v>
      </x:c>
      <x:c r="R454" s="12" t="n">
        <x:v>3.92</x:v>
      </x:c>
      <x:c r="S454" s="12" t="n">
        <x:v>3.77</x:v>
      </x:c>
      <x:c r="T454" s="12" t="n">
        <x:v>4.12</x:v>
      </x:c>
      <x:c r="U454" s="12" t="n">
        <x:v>4.47</x:v>
      </x:c>
      <x:c r="V454" s="12" t="n">
        <x:v>3.99</x:v>
      </x:c>
      <x:c r="W454" s="12" t="n">
        <x:f>ROUND((Q454*0.24)+(R454*0.22)+(S454*0.16)+(T454*0.18)+(U454*0.10)+(V454*0.10),2)</x:f>
        <x:v>4.1</x:v>
      </x:c>
      <x:c r="X454" t="str">
        <x:f>IF(W454&gt;=3.55,"Pass","Fail")</x:f>
        <x:v>Pass</x:v>
      </x:c>
      <x:c r="Y454" t="str">
        <x:v>minor continuity jump</x:v>
      </x:c>
      <x:c r="Z454" t="str">
        <x:v>QA note: The intention is clear, especially if you already know the step. A novice might miss the key detail because this issue appears right where the action should be most explicit: minor continuity jump. On a small preview it might pass, but full-screen review exposes the issue. For this painting example, the main judgment is still whether the viewer can copy the motion.</x:v>
      </x:c>
      <x:c r="AA454" t="str">
        <x:v>Add a one-sentence end-state requirement: viewer must see the completed washing result for one full second.</x:v>
      </x:c>
      <x:c r="AB454" t="str">
        <x:v>Medium-High</x:v>
      </x:c>
      <x:c r="AC454" t="str"/>
      <x:c r="AD454" t="str">
        <x:v>Planning dataset only; scores are plausible placeholders, not vendor claims.</x:v>
      </x:c>
    </x:row>
    <x:row r="455">
      <x:c r="A455" t="str">
        <x:v>S076-Kling-REF</x:v>
      </x:c>
      <x:c r="B455" t="str">
        <x:v>S076</x:v>
      </x:c>
      <x:c r="C455" t="str">
        <x:v>Painting</x:v>
      </x:c>
      <x:c r="D455" t="str">
        <x:v>cleanup</x:v>
      </x:c>
      <x:c r="E455" t="str">
        <x:v>washing</x:v>
      </x:c>
      <x:c r="F455" t="n">
        <x:v>2</x:v>
      </x:c>
      <x:c r="G455" t="str">
        <x:v>rinse a latex paint brush until water runs clear</x:v>
      </x:c>
      <x:c r="H455" t="str">
        <x:v>paint brush</x:v>
      </x:c>
      <x:c r="I455" t="str">
        <x:v>sink, brush bristles</x:v>
      </x:c>
      <x:c r="J455" t="str">
        <x:v>Kling v3.0 (Replicate)</x:v>
      </x:c>
      <x:c r="K455" t="str">
        <x:v>Reference-Guided</x:v>
      </x:c>
      <x:c r="L455" t="str">
        <x:v>Adds reference-tool/image cue and brand-agnostic visual constraints.</x:v>
      </x:c>
      <x:c r="M455" t="str">
        <x:v>Close-up realistic instructional DIY video: rinse a latex paint brush until water runs clear. Show paint brush working on sink, brush bristles. Hands visible, stable camera, no text overlay, neutral shop lighting. Use a generic, brand-agnostic visual reference for the paint brush; preserve the tool shape and scale; the paint brush must remain in contact with sink, brush bristles during the key motion.</x:v>
      </x:c>
      <x:c r="N455" s="14" t="n">
        <x:v>10</x:v>
      </x:c>
      <x:c r="O455" s="14" t="n">
        <x:v>100763</x:v>
      </x:c>
      <x:c r="P455" t="str">
        <x:v>R-A</x:v>
      </x:c>
      <x:c r="Q455" s="12" t="n">
        <x:v>3.52</x:v>
      </x:c>
      <x:c r="R455" s="12" t="n">
        <x:v>3.77</x:v>
      </x:c>
      <x:c r="S455" s="12" t="n">
        <x:v>4.53</x:v>
      </x:c>
      <x:c r="T455" s="12" t="n">
        <x:v>4.02</x:v>
      </x:c>
      <x:c r="U455" s="12" t="n">
        <x:v>3.6</x:v>
      </x:c>
      <x:c r="V455" s="12" t="n">
        <x:v>3.68</x:v>
      </x:c>
      <x:c r="W455" s="12" t="n">
        <x:f>ROUND((Q455*0.24)+(R455*0.22)+(S455*0.16)+(T455*0.18)+(U455*0.10)+(V455*0.10),2)</x:f>
        <x:v>3.85</x:v>
      </x:c>
      <x:c r="X455" t="str">
        <x:f>IF(W455&gt;=3.55,"Pass","Fail")</x:f>
        <x:v>Pass</x:v>
      </x:c>
      <x:c r="Y455" t="str">
        <x:v>endpoint not visible</x:v>
      </x:c>
      <x:c r="Z455" t="str">
        <x:v>Human check: Usable, but I would not show it without review. The paint brush is recognizable, yet the exact contact point is hard to see when the hand crosses the frame. The clip needs a verifier pass before it can enter the training pool. For this painting example, the main judgment is still whether the viewer can copy the motion.</x:v>
      </x:c>
      <x:c r="AA455" t="str">
        <x:v>Specify the exact contact point and do not allow the hand to cover it.</x:v>
      </x:c>
      <x:c r="AB455" t="str">
        <x:v>High</x:v>
      </x:c>
      <x:c r="AC455" t="str"/>
      <x:c r="AD455" t="str">
        <x:v>Simulated pilot row for planning; replace with blinded ratings after generating actual clips.</x:v>
      </x:c>
    </x:row>
    <x:row r="456">
      <x:c r="A456" t="str">
        <x:v>S076-Pika-REF</x:v>
      </x:c>
      <x:c r="B456" t="str">
        <x:v>S076</x:v>
      </x:c>
      <x:c r="C456" t="str">
        <x:v>Painting</x:v>
      </x:c>
      <x:c r="D456" t="str">
        <x:v>cleanup</x:v>
      </x:c>
      <x:c r="E456" t="str">
        <x:v>washing</x:v>
      </x:c>
      <x:c r="F456" t="n">
        <x:v>2</x:v>
      </x:c>
      <x:c r="G456" t="str">
        <x:v>rinse a latex paint brush until water runs clear</x:v>
      </x:c>
      <x:c r="H456" t="str">
        <x:v>paint brush</x:v>
      </x:c>
      <x:c r="I456" t="str">
        <x:v>sink, brush bristles</x:v>
      </x:c>
      <x:c r="J456" t="str">
        <x:v>Pika 2.2</x:v>
      </x:c>
      <x:c r="K456" t="str">
        <x:v>Reference-Guided</x:v>
      </x:c>
      <x:c r="L456" t="str">
        <x:v>Adds reference-tool/image cue and brand-agnostic visual constraints.</x:v>
      </x:c>
      <x:c r="M456" t="str">
        <x:v>Close-up realistic instructional DIY video: rinse a latex paint brush until water runs clear. Show paint brush working on sink, brush bristles. Hands visible, stable camera, no text overlay, neutral shop lighting. Use a generic, brand-agnostic visual reference for the paint brush; preserve the tool shape and scale; the paint brush must remain in contact with sink, brush bristles during the key motion.</x:v>
      </x:c>
      <x:c r="N456" s="14" t="n">
        <x:v>5</x:v>
      </x:c>
      <x:c r="O456" s="14" t="n">
        <x:v>100764</x:v>
      </x:c>
      <x:c r="P456" t="str">
        <x:v>R-D</x:v>
      </x:c>
      <x:c r="Q456" s="12" t="n">
        <x:v>3.41</x:v>
      </x:c>
      <x:c r="R456" s="12" t="n">
        <x:v>4.07</x:v>
      </x:c>
      <x:c r="S456" s="12" t="n">
        <x:v>3.59</x:v>
      </x:c>
      <x:c r="T456" s="12" t="n">
        <x:v>3.57</x:v>
      </x:c>
      <x:c r="U456" s="12" t="n">
        <x:v>3.64</x:v>
      </x:c>
      <x:c r="V456" s="12" t="n">
        <x:v>3.44</x:v>
      </x:c>
      <x:c r="W456" s="12" t="n">
        <x:f>ROUND((Q456*0.24)+(R456*0.22)+(S456*0.16)+(T456*0.18)+(U456*0.10)+(V456*0.10),2)</x:f>
        <x:v>3.64</x:v>
      </x:c>
      <x:c r="X456" t="str">
        <x:f>IF(W456&gt;=3.55,"Pass","Fail")</x:f>
        <x:v>Pass</x:v>
      </x:c>
      <x:c r="Y456" t="str">
        <x:v>material looks wrong</x:v>
      </x:c>
      <x:c r="Z456" t="str">
        <x:v>Review note: Usable, but I would not show it without review. The paint brush is recognizable, yet the exact contact point is hard to see when the hand crosses the frame. The next prompt should slow the final second instead of adding more scene detail. For this painting example, the main judgment is still whether the viewer can copy the motion.</x:v>
      </x:c>
      <x:c r="AA456" t="str">
        <x:v>Break the action into start, contact, movement, and finish; ban extra tools and hand morphing.</x:v>
      </x:c>
      <x:c r="AB456" t="str">
        <x:v>Medium</x:v>
      </x:c>
      <x:c r="AC456" t="str"/>
      <x:c r="AD456" t="str">
        <x:v>Mock rater record for experiment design; audit against real video outputs before publication.</x:v>
      </x:c>
    </x:row>
    <x:row r="457">
      <x:c r="A457" t="str">
        <x:v>S076-Vidu-REF</x:v>
      </x:c>
      <x:c r="B457" t="str">
        <x:v>S076</x:v>
      </x:c>
      <x:c r="C457" t="str">
        <x:v>Painting</x:v>
      </x:c>
      <x:c r="D457" t="str">
        <x:v>cleanup</x:v>
      </x:c>
      <x:c r="E457" t="str">
        <x:v>washing</x:v>
      </x:c>
      <x:c r="F457" t="n">
        <x:v>2</x:v>
      </x:c>
      <x:c r="G457" t="str">
        <x:v>rinse a latex paint brush until water runs clear</x:v>
      </x:c>
      <x:c r="H457" t="str">
        <x:v>paint brush</x:v>
      </x:c>
      <x:c r="I457" t="str">
        <x:v>sink, brush bristles</x:v>
      </x:c>
      <x:c r="J457" t="str">
        <x:v>Vidu 2.0</x:v>
      </x:c>
      <x:c r="K457" t="str">
        <x:v>Reference-Guided</x:v>
      </x:c>
      <x:c r="L457" t="str">
        <x:v>Adds reference-tool/image cue and brand-agnostic visual constraints.</x:v>
      </x:c>
      <x:c r="M457" t="str">
        <x:v>Close-up realistic instructional DIY video: rinse a latex paint brush until water runs clear. Show paint brush working on sink, brush bristles. Hands visible, stable camera, no text overlay, neutral shop lighting. Use a generic, brand-agnostic visual reference for the paint brush; preserve the tool shape and scale; the paint brush must remain in contact with sink, brush bristles during the key motion.</x:v>
      </x:c>
      <x:c r="N457" s="14" t="n">
        <x:v>5</x:v>
      </x:c>
      <x:c r="O457" s="14" t="n">
        <x:v>100765</x:v>
      </x:c>
      <x:c r="P457" t="str">
        <x:v>R-B</x:v>
      </x:c>
      <x:c r="Q457" s="12" t="n">
        <x:v>3.53</x:v>
      </x:c>
      <x:c r="R457" s="12" t="n">
        <x:v>3.34</x:v>
      </x:c>
      <x:c r="S457" s="12" t="n">
        <x:v>3.68</x:v>
      </x:c>
      <x:c r="T457" s="12" t="n">
        <x:v>3.06</x:v>
      </x:c>
      <x:c r="U457" s="12" t="n">
        <x:v>3.22</x:v>
      </x:c>
      <x:c r="V457" s="12" t="n">
        <x:v>3.17</x:v>
      </x:c>
      <x:c r="W457" s="12" t="n">
        <x:f>ROUND((Q457*0.24)+(R457*0.22)+(S457*0.16)+(T457*0.18)+(U457*0.10)+(V457*0.10),2)</x:f>
        <x:v>3.36</x:v>
      </x:c>
      <x:c r="X457" t="str">
        <x:f>IF(W457&gt;=3.55,"Pass","Fail")</x:f>
        <x:v>Fail</x:v>
      </x:c>
      <x:c r="Y457" t="str">
        <x:v>material looks wrong</x:v>
      </x:c>
      <x:c r="Z457" t="str">
        <x:v>Rater note: Too much is being implied. The paint brush and sink, brush bristles are in the scene, but the motion does not demonstrate the actual repair step. This would be safer as a reference-aided run than a text-only run. For this painting example, the main judgment is still whether the viewer can copy the motion.</x:v>
      </x:c>
      <x:c r="AA457" t="str">
        <x:v>Specify the exact contact point and do not allow the hand to cover it.</x:v>
      </x:c>
      <x:c r="AB457" t="str">
        <x:v>Medium</x:v>
      </x:c>
      <x:c r="AC457" t="str"/>
      <x:c r="AD457" t="str">
        <x:v>Simulated pilot row for planning; replace with blinded ratings after generating actual clips.</x:v>
      </x:c>
    </x:row>
    <x:row r="458">
      <x:c r="A458" t="str">
        <x:v>S077-Veo-SEQ</x:v>
      </x:c>
      <x:c r="B458" t="str">
        <x:v>S077</x:v>
      </x:c>
      <x:c r="C458" t="str">
        <x:v>Painting</x:v>
      </x:c>
      <x:c r="D458" t="str">
        <x:v>texture</x:v>
      </x:c>
      <x:c r="E458" t="str">
        <x:v>dabbing</x:v>
      </x:c>
      <x:c r="F458" t="n">
        <x:v>3</x:v>
      </x:c>
      <x:c r="G458" t="str">
        <x:v>dab texture onto a small drywall repair</x:v>
      </x:c>
      <x:c r="H458" t="str">
        <x:v>texture sponge</x:v>
      </x:c>
      <x:c r="I458" t="str">
        <x:v>drywall repair</x:v>
      </x:c>
      <x:c r="J458" t="str">
        <x:v>Veo 3.1</x:v>
      </x:c>
      <x:c r="K458" t="str">
        <x:v>Sequential Context</x:v>
      </x:c>
      <x:c r="L458" t="str">
        <x:v>Provides previous and next step for continuity without asking for them to appear.</x:v>
      </x:c>
      <x:c r="M458" t="str">
        <x:v>Close-up realistic instructional DIY video: dab texture onto a small drywall repair. Show texture sponge working on drywall repair. Hands visible, stable camera, no text overlay, neutral shop lighting. This is the middle clip in a sequence. Previous step has already prepared the work area; next step will verify the result. Keep the same workpiece, camera distance, and hand orientation.</x:v>
      </x:c>
      <x:c r="N458" s="14" t="n">
        <x:v>8</x:v>
      </x:c>
      <x:c r="O458" s="14" t="n">
        <x:v>100770</x:v>
      </x:c>
      <x:c r="P458" t="str">
        <x:v>R-A</x:v>
      </x:c>
      <x:c r="Q458" s="12" t="n">
        <x:v>4.15</x:v>
      </x:c>
      <x:c r="R458" s="12" t="n">
        <x:v>4.25</x:v>
      </x:c>
      <x:c r="S458" s="12" t="n">
        <x:v>4.28</x:v>
      </x:c>
      <x:c r="T458" s="12" t="n">
        <x:v>4.42</x:v>
      </x:c>
      <x:c r="U458" s="12" t="n">
        <x:v>4.04</x:v>
      </x:c>
      <x:c r="V458" s="12" t="n">
        <x:v>3.36</x:v>
      </x:c>
      <x:c r="W458" s="12" t="n">
        <x:f>ROUND((Q458*0.24)+(R458*0.22)+(S458*0.16)+(T458*0.18)+(U458*0.10)+(V458*0.10),2)</x:f>
        <x:v>4.15</x:v>
      </x:c>
      <x:c r="X458" t="str">
        <x:f>IF(W458&gt;=3.55,"Pass","Fail")</x:f>
        <x:v>Pass</x:v>
      </x:c>
      <x:c r="Y458" t="str">
        <x:v>motion slightly compressed</x:v>
      </x:c>
      <x:c r="Z458" t="str">
        <x:v>Human check: Good continuity from frame to frame. The texture sponge makes visual contact with the workpiece and the motion does not feel invented. The tool silhouette is acceptable; the mechanics are the weak part. Continuity is useful here, but it cannot replace showing the actual contact point.</x:v>
      </x:c>
      <x:c r="AA458" t="str">
        <x:v>Specify the exact contact point and do not allow the hand to cover it.</x:v>
      </x:c>
      <x:c r="AB458" t="str">
        <x:v>Medium</x:v>
      </x:c>
      <x:c r="AC458" t="str"/>
      <x:c r="AD458" t="str">
        <x:v>Simulated pilot row for planning; replace with blinded ratings after generating actual clips.</x:v>
      </x:c>
    </x:row>
    <x:row r="459">
      <x:c r="A459" t="str">
        <x:v>S077-Sora-SEQ</x:v>
      </x:c>
      <x:c r="B459" t="str">
        <x:v>S077</x:v>
      </x:c>
      <x:c r="C459" t="str">
        <x:v>Painting</x:v>
      </x:c>
      <x:c r="D459" t="str">
        <x:v>texture</x:v>
      </x:c>
      <x:c r="E459" t="str">
        <x:v>dabbing</x:v>
      </x:c>
      <x:c r="F459" t="n">
        <x:v>3</x:v>
      </x:c>
      <x:c r="G459" t="str">
        <x:v>dab texture onto a small drywall repair</x:v>
      </x:c>
      <x:c r="H459" t="str">
        <x:v>texture sponge</x:v>
      </x:c>
      <x:c r="I459" t="str">
        <x:v>drywall repair</x:v>
      </x:c>
      <x:c r="J459" t="str">
        <x:v>Sora 2 Pro</x:v>
      </x:c>
      <x:c r="K459" t="str">
        <x:v>Sequential Context</x:v>
      </x:c>
      <x:c r="L459" t="str">
        <x:v>Provides previous and next step for continuity without asking for them to appear.</x:v>
      </x:c>
      <x:c r="M459" t="str">
        <x:v>Close-up realistic instructional DIY video: dab texture onto a small drywall repair. Show texture sponge working on drywall repair. Hands visible, stable camera, no text overlay, neutral shop lighting. This is the middle clip in a sequence. Previous step has already prepared the work area; next step will verify the result. Keep the same workpiece, camera distance, and hand orientation.</x:v>
      </x:c>
      <x:c r="N459" s="14" t="n">
        <x:v>8</x:v>
      </x:c>
      <x:c r="O459" s="14" t="n">
        <x:v>100771</x:v>
      </x:c>
      <x:c r="P459" t="str">
        <x:v>R-A</x:v>
      </x:c>
      <x:c r="Q459" s="12" t="n">
        <x:v>3.71</x:v>
      </x:c>
      <x:c r="R459" s="12" t="n">
        <x:v>4.23</x:v>
      </x:c>
      <x:c r="S459" s="12" t="n">
        <x:v>4.1</x:v>
      </x:c>
      <x:c r="T459" s="12" t="n">
        <x:v>4.09</x:v>
      </x:c>
      <x:c r="U459" s="12" t="n">
        <x:v>4.04</x:v>
      </x:c>
      <x:c r="V459" s="12" t="n">
        <x:v>4.3</x:v>
      </x:c>
      <x:c r="W459" s="12" t="n">
        <x:f>ROUND((Q459*0.24)+(R459*0.22)+(S459*0.16)+(T459*0.18)+(U459*0.10)+(V459*0.10),2)</x:f>
        <x:v>4.05</x:v>
      </x:c>
      <x:c r="X459" t="str">
        <x:f>IF(W459&gt;=3.55,"Pass","Fail")</x:f>
        <x:v>Pass</x:v>
      </x:c>
      <x:c r="Y459" t="str">
        <x:v>minor continuity jump</x:v>
      </x:c>
      <x:c r="Z459" t="str">
        <x:v>Rater note: The clip has the right ingredients but not quite the right mechanics. It needs a tighter prompt about grip, contact, and the end position. The clip needs a verifier pass before it can enter the training pool. Continuity is useful here, but it cannot replace showing the actual contact point.</x:v>
      </x:c>
      <x:c r="AA459" t="str">
        <x:v>Move safety language earlier in the prompt and remove cinematic camera instructions.</x:v>
      </x:c>
      <x:c r="AB459" t="str">
        <x:v>Medium</x:v>
      </x:c>
      <x:c r="AC459" t="str"/>
      <x:c r="AD459" t="str">
        <x:v>Planning dataset only; scores are plausible placeholders, not vendor claims.</x:v>
      </x:c>
    </x:row>
    <x:row r="460">
      <x:c r="A460" t="str">
        <x:v>S077-Runway-SEQ</x:v>
      </x:c>
      <x:c r="B460" t="str">
        <x:v>S077</x:v>
      </x:c>
      <x:c r="C460" t="str">
        <x:v>Painting</x:v>
      </x:c>
      <x:c r="D460" t="str">
        <x:v>texture</x:v>
      </x:c>
      <x:c r="E460" t="str">
        <x:v>dabbing</x:v>
      </x:c>
      <x:c r="F460" t="n">
        <x:v>3</x:v>
      </x:c>
      <x:c r="G460" t="str">
        <x:v>dab texture onto a small drywall repair</x:v>
      </x:c>
      <x:c r="H460" t="str">
        <x:v>texture sponge</x:v>
      </x:c>
      <x:c r="I460" t="str">
        <x:v>drywall repair</x:v>
      </x:c>
      <x:c r="J460" t="str">
        <x:v>Runway Gen-4.5</x:v>
      </x:c>
      <x:c r="K460" t="str">
        <x:v>Sequential Context</x:v>
      </x:c>
      <x:c r="L460" t="str">
        <x:v>Provides previous and next step for continuity without asking for them to appear.</x:v>
      </x:c>
      <x:c r="M460" t="str">
        <x:v>Close-up realistic instructional DIY video: dab texture onto a small drywall repair. Show texture sponge working on drywall repair. Hands visible, stable camera, no text overlay, neutral shop lighting. This is the middle clip in a sequence. Previous step has already prepared the work area; next step will verify the result. Keep the same workpiece, camera distance, and hand orientation.</x:v>
      </x:c>
      <x:c r="N460" s="14" t="n">
        <x:v>5</x:v>
      </x:c>
      <x:c r="O460" s="14" t="n">
        <x:v>100772</x:v>
      </x:c>
      <x:c r="P460" t="str">
        <x:v>R-D</x:v>
      </x:c>
      <x:c r="Q460" s="12" t="n">
        <x:v>3.7</x:v>
      </x:c>
      <x:c r="R460" s="12" t="n">
        <x:v>4.4</x:v>
      </x:c>
      <x:c r="S460" s="12" t="n">
        <x:v>3.77</x:v>
      </x:c>
      <x:c r="T460" s="12" t="n">
        <x:v>4.05</x:v>
      </x:c>
      <x:c r="U460" s="12" t="n">
        <x:v>4.14</x:v>
      </x:c>
      <x:c r="V460" s="12" t="n">
        <x:v>4.11</x:v>
      </x:c>
      <x:c r="W460" s="12" t="n">
        <x:f>ROUND((Q460*0.24)+(R460*0.22)+(S460*0.16)+(T460*0.18)+(U460*0.10)+(V460*0.10),2)</x:f>
        <x:v>4.01</x:v>
      </x:c>
      <x:c r="X460" t="str">
        <x:f>IF(W460&gt;=3.55,"Pass","Fail")</x:f>
        <x:v>Pass</x:v>
      </x:c>
      <x:c r="Y460" t="str">
        <x:v>endpoint not visible</x:v>
      </x:c>
      <x:c r="Z460" t="str">
        <x:v>Human check: I would keep this as a rough candidate. It communicates the step, although the failure mode makes it weaker than a real sourced clip: endpoint not visible. This reads better as a teaser than as an instructional clip. Continuity is useful here, but it cannot replace showing the actual contact point.</x:v>
      </x:c>
      <x:c r="AA460" t="str">
        <x:v>Add a one-sentence end-state requirement: viewer must see the completed dabbing result for one full second.</x:v>
      </x:c>
      <x:c r="AB460" t="str">
        <x:v>Medium</x:v>
      </x:c>
      <x:c r="AC460" t="str"/>
      <x:c r="AD460" t="str">
        <x:v>Simulated pilot row for planning; replace with blinded ratings after generating actual clips.</x:v>
      </x:c>
    </x:row>
    <x:row r="461">
      <x:c r="A461" t="str">
        <x:v>S077-Kling-SEQ</x:v>
      </x:c>
      <x:c r="B461" t="str">
        <x:v>S077</x:v>
      </x:c>
      <x:c r="C461" t="str">
        <x:v>Painting</x:v>
      </x:c>
      <x:c r="D461" t="str">
        <x:v>texture</x:v>
      </x:c>
      <x:c r="E461" t="str">
        <x:v>dabbing</x:v>
      </x:c>
      <x:c r="F461" t="n">
        <x:v>3</x:v>
      </x:c>
      <x:c r="G461" t="str">
        <x:v>dab texture onto a small drywall repair</x:v>
      </x:c>
      <x:c r="H461" t="str">
        <x:v>texture sponge</x:v>
      </x:c>
      <x:c r="I461" t="str">
        <x:v>drywall repair</x:v>
      </x:c>
      <x:c r="J461" t="str">
        <x:v>Kling v3.0 (Replicate)</x:v>
      </x:c>
      <x:c r="K461" t="str">
        <x:v>Sequential Context</x:v>
      </x:c>
      <x:c r="L461" t="str">
        <x:v>Provides previous and next step for continuity without asking for them to appear.</x:v>
      </x:c>
      <x:c r="M461" t="str">
        <x:v>Close-up realistic instructional DIY video: dab texture onto a small drywall repair. Show texture sponge working on drywall repair. Hands visible, stable camera, no text overlay, neutral shop lighting. This is the middle clip in a sequence. Previous step has already prepared the work area; next step will verify the result. Keep the same workpiece, camera distance, and hand orientation.</x:v>
      </x:c>
      <x:c r="N461" s="14" t="n">
        <x:v>10</x:v>
      </x:c>
      <x:c r="O461" s="14" t="n">
        <x:v>100773</x:v>
      </x:c>
      <x:c r="P461" t="str">
        <x:v>R-D</x:v>
      </x:c>
      <x:c r="Q461" s="12" t="n">
        <x:v>4.13</x:v>
      </x:c>
      <x:c r="R461" s="12" t="n">
        <x:v>3.85</x:v>
      </x:c>
      <x:c r="S461" s="12" t="n">
        <x:v>3.68</x:v>
      </x:c>
      <x:c r="T461" s="12" t="n">
        <x:v>3.8</x:v>
      </x:c>
      <x:c r="U461" s="12" t="n">
        <x:v>3.6</x:v>
      </x:c>
      <x:c r="V461" s="12" t="n">
        <x:v>3.55</x:v>
      </x:c>
      <x:c r="W461" s="12" t="n">
        <x:f>ROUND((Q461*0.24)+(R461*0.22)+(S461*0.16)+(T461*0.18)+(U461*0.10)+(V461*0.10),2)</x:f>
        <x:v>3.83</x:v>
      </x:c>
      <x:c r="X461" t="str">
        <x:f>IF(W461&gt;=3.55,"Pass","Fail")</x:f>
        <x:v>Pass</x:v>
      </x:c>
      <x:c r="Y461" t="str">
        <x:v>contact point hidden</x:v>
      </x:c>
      <x:c r="Z461" t="str">
        <x:v>Review note: The intention is clear, especially if you already know the step. A novice might miss the key detail because this issue appears right where the action should be most explicit: contact point hidden. On a small preview it might pass, but full-screen review exposes the issue. Continuity is useful here, but it cannot replace showing the actual contact point.</x:v>
      </x:c>
      <x:c r="AA461" t="str">
        <x:v>Move safety language earlier in the prompt and remove cinematic camera instructions.</x:v>
      </x:c>
      <x:c r="AB461" t="str">
        <x:v>High</x:v>
      </x:c>
      <x:c r="AC461" t="str"/>
      <x:c r="AD461" t="str">
        <x:v>Synthetic benchmark entry; generated clip URL should be filled after API run.</x:v>
      </x:c>
    </x:row>
    <x:row r="462">
      <x:c r="A462" t="str">
        <x:v>S077-Pika-SEQ</x:v>
      </x:c>
      <x:c r="B462" t="str">
        <x:v>S077</x:v>
      </x:c>
      <x:c r="C462" t="str">
        <x:v>Painting</x:v>
      </x:c>
      <x:c r="D462" t="str">
        <x:v>texture</x:v>
      </x:c>
      <x:c r="E462" t="str">
        <x:v>dabbing</x:v>
      </x:c>
      <x:c r="F462" t="n">
        <x:v>3</x:v>
      </x:c>
      <x:c r="G462" t="str">
        <x:v>dab texture onto a small drywall repair</x:v>
      </x:c>
      <x:c r="H462" t="str">
        <x:v>texture sponge</x:v>
      </x:c>
      <x:c r="I462" t="str">
        <x:v>drywall repair</x:v>
      </x:c>
      <x:c r="J462" t="str">
        <x:v>Pika 2.2</x:v>
      </x:c>
      <x:c r="K462" t="str">
        <x:v>Sequential Context</x:v>
      </x:c>
      <x:c r="L462" t="str">
        <x:v>Provides previous and next step for continuity without asking for them to appear.</x:v>
      </x:c>
      <x:c r="M462" t="str">
        <x:v>Close-up realistic instructional DIY video: dab texture onto a small drywall repair. Show texture sponge working on drywall repair. Hands visible, stable camera, no text overlay, neutral shop lighting. This is the middle clip in a sequence. Previous step has already prepared the work area; next step will verify the result. Keep the same workpiece, camera distance, and hand orientation.</x:v>
      </x:c>
      <x:c r="N462" s="14" t="n">
        <x:v>5</x:v>
      </x:c>
      <x:c r="O462" s="14" t="n">
        <x:v>100774</x:v>
      </x:c>
      <x:c r="P462" t="str">
        <x:v>R-B</x:v>
      </x:c>
      <x:c r="Q462" s="12" t="n">
        <x:v>3.06</x:v>
      </x:c>
      <x:c r="R462" s="12" t="n">
        <x:v>3.49</x:v>
      </x:c>
      <x:c r="S462" s="12" t="n">
        <x:v>3.79</x:v>
      </x:c>
      <x:c r="T462" s="12" t="n">
        <x:v>3.6</x:v>
      </x:c>
      <x:c r="U462" s="12" t="n">
        <x:v>3.53</x:v>
      </x:c>
      <x:c r="V462" s="12" t="n">
        <x:v>3.74</x:v>
      </x:c>
      <x:c r="W462" s="12" t="n">
        <x:f>ROUND((Q462*0.24)+(R462*0.22)+(S462*0.16)+(T462*0.18)+(U462*0.10)+(V462*0.10),2)</x:f>
        <x:v>3.48</x:v>
      </x:c>
      <x:c r="X462" t="str">
        <x:f>IF(W462&gt;=3.55,"Pass","Fail")</x:f>
        <x:v>Fail</x:v>
      </x:c>
      <x:c r="Y462" t="str">
        <x:v>object morphs</x:v>
      </x:c>
      <x:c r="Z462" t="str">
        <x:v>Rater note: A reviewer would likely reject this. It may be visually attractive, but the tool/object relationship breaks during the important moment. The prompt should prioritize hand path over cinematic lighting. Continuity is useful here, but it cannot replace showing the actual contact point.</x:v>
      </x:c>
      <x:c r="AA462" t="str">
        <x:v>Ask for a static close-up and require the texture sponge to touch the drywall repair before any motion starts.</x:v>
      </x:c>
      <x:c r="AB462" t="str">
        <x:v>Medium-High</x:v>
      </x:c>
      <x:c r="AC462" t="str"/>
      <x:c r="AD462" t="str">
        <x:v>Planning dataset only; scores are plausible placeholders, not vendor claims.</x:v>
      </x:c>
    </x:row>
    <x:row r="463">
      <x:c r="A463" t="str">
        <x:v>S077-Vidu-SEQ</x:v>
      </x:c>
      <x:c r="B463" t="str">
        <x:v>S077</x:v>
      </x:c>
      <x:c r="C463" t="str">
        <x:v>Painting</x:v>
      </x:c>
      <x:c r="D463" t="str">
        <x:v>texture</x:v>
      </x:c>
      <x:c r="E463" t="str">
        <x:v>dabbing</x:v>
      </x:c>
      <x:c r="F463" t="n">
        <x:v>3</x:v>
      </x:c>
      <x:c r="G463" t="str">
        <x:v>dab texture onto a small drywall repair</x:v>
      </x:c>
      <x:c r="H463" t="str">
        <x:v>texture sponge</x:v>
      </x:c>
      <x:c r="I463" t="str">
        <x:v>drywall repair</x:v>
      </x:c>
      <x:c r="J463" t="str">
        <x:v>Vidu 2.0</x:v>
      </x:c>
      <x:c r="K463" t="str">
        <x:v>Sequential Context</x:v>
      </x:c>
      <x:c r="L463" t="str">
        <x:v>Provides previous and next step for continuity without asking for them to appear.</x:v>
      </x:c>
      <x:c r="M463" t="str">
        <x:v>Close-up realistic instructional DIY video: dab texture onto a small drywall repair. Show texture sponge working on drywall repair. Hands visible, stable camera, no text overlay, neutral shop lighting. This is the middle clip in a sequence. Previous step has already prepared the work area; next step will verify the result. Keep the same workpiece, camera distance, and hand orientation.</x:v>
      </x:c>
      <x:c r="N463" s="14" t="n">
        <x:v>5</x:v>
      </x:c>
      <x:c r="O463" s="14" t="n">
        <x:v>100775</x:v>
      </x:c>
      <x:c r="P463" t="str">
        <x:v>R-A</x:v>
      </x:c>
      <x:c r="Q463" s="12" t="n">
        <x:v>3.79</x:v>
      </x:c>
      <x:c r="R463" s="12" t="n">
        <x:v>3.29</x:v>
      </x:c>
      <x:c r="S463" s="12" t="n">
        <x:v>3.02</x:v>
      </x:c>
      <x:c r="T463" s="12" t="n">
        <x:v>3.58</x:v>
      </x:c>
      <x:c r="U463" s="12" t="n">
        <x:v>3.19</x:v>
      </x:c>
      <x:c r="V463" s="12" t="n">
        <x:v>3.52</x:v>
      </x:c>
      <x:c r="W463" s="12" t="n">
        <x:f>ROUND((Q463*0.24)+(R463*0.22)+(S463*0.16)+(T463*0.18)+(U463*0.10)+(V463*0.10),2)</x:f>
        <x:v>3.43</x:v>
      </x:c>
      <x:c r="X463" t="str">
        <x:f>IF(W463&gt;=3.55,"Pass","Fail")</x:f>
        <x:v>Fail</x:v>
      </x:c>
      <x:c r="Y463" t="str">
        <x:v>action starts too late</x:v>
      </x:c>
      <x:c r="Z463" t="str">
        <x:v>Review note: This should fail the instructional bar. The model gestures toward the task, but the failure mode prevents a learner from trusting the technique: action starts too late. I marked it down for the key moment rather than the opening setup. Continuity is useful here, but it cannot replace showing the actual contact point.</x:v>
      </x:c>
      <x:c r="AA463" t="str">
        <x:v>Move safety language earlier in the prompt and remove cinematic camera instructions.</x:v>
      </x:c>
      <x:c r="AB463" t="str">
        <x:v>High</x:v>
      </x:c>
      <x:c r="AC463" t="str"/>
      <x:c r="AD463" t="str">
        <x:v>Simulated pilot row for planning; replace with blinded ratings after generating actual clips.</x:v>
      </x:c>
    </x:row>
    <x:row r="464">
      <x:c r="A464" t="str">
        <x:v>S078-Veo-CON</x:v>
      </x:c>
      <x:c r="B464" t="str">
        <x:v>S078</x:v>
      </x:c>
      <x:c r="C464" t="str">
        <x:v>Painting</x:v>
      </x:c>
      <x:c r="D464" t="str">
        <x:v>mixing</x:v>
      </x:c>
      <x:c r="E464" t="str">
        <x:v>stirring</x:v>
      </x:c>
      <x:c r="F464" t="n">
        <x:v>1</x:v>
      </x:c>
      <x:c r="G464" t="str">
        <x:v>stir a paint can until the color looks uniform</x:v>
      </x:c>
      <x:c r="H464" t="str">
        <x:v>paint stir stick</x:v>
      </x:c>
      <x:c r="I464" t="str">
        <x:v>paint can</x:v>
      </x:c>
      <x:c r="J464" t="str">
        <x:v>Veo 3.1</x:v>
      </x:c>
      <x:c r="K464" t="str">
        <x:v>Constraint-Rich Negative Prompt</x:v>
      </x:c>
      <x:c r="L464" t="str">
        <x:v>Adds concise no-floating-tools/no-extra-objects/no-morphing constraints.</x:v>
      </x:c>
      <x:c r="M464" t="str">
        <x:v>Close-up realistic instructional DIY video: stir a paint can until the color looks uniform. Show paint stir stick working on paint can. Hands visible, stable camera, no text overlay, neutral shop lighting. Constraints: no floating tools, no extra tools, no morphing hands, no reversed motion, no impossible deformation, no dramatic camera spin. Keep the full action legible.</x:v>
      </x:c>
      <x:c r="N464" s="14" t="n">
        <x:v>8</x:v>
      </x:c>
      <x:c r="O464" s="14" t="n">
        <x:v>100780</x:v>
      </x:c>
      <x:c r="P464" t="str">
        <x:v>R-C</x:v>
      </x:c>
      <x:c r="Q464" s="12" t="n">
        <x:v>4.21</x:v>
      </x:c>
      <x:c r="R464" s="12" t="n">
        <x:v>4.74</x:v>
      </x:c>
      <x:c r="S464" s="12" t="n">
        <x:v>4.33</x:v>
      </x:c>
      <x:c r="T464" s="12" t="n">
        <x:v>4.71</x:v>
      </x:c>
      <x:c r="U464" s="12" t="n">
        <x:v>4.56</x:v>
      </x:c>
      <x:c r="V464" s="12" t="n">
        <x:v>4.78</x:v>
      </x:c>
      <x:c r="W464" s="12" t="n">
        <x:f>ROUND((Q464*0.24)+(R464*0.22)+(S464*0.16)+(T464*0.18)+(U464*0.10)+(V464*0.10),2)</x:f>
        <x:v>4.53</x:v>
      </x:c>
      <x:c r="X464" t="str">
        <x:f>IF(W464&gt;=3.55,"Pass","Fail")</x:f>
        <x:v>Pass</x:v>
      </x:c>
      <x:c r="Y464" t="str">
        <x:v>none</x:v>
      </x:c>
      <x:c r="Z464" t="str">
        <x:v>Clip review: Best part is the pacing: it gives enough time to understand stirring without turning into a beauty shot. Minor issue: over-polished camera move. This reads better as a teaser than as an instructional clip. The negative constraints help, but they do not fully solve the mechanics.</x:v>
      </x:c>
      <x:c r="AA464" t="str">
        <x:v>No immediate re-run; keep as candidate and verify with a second rater.</x:v>
      </x:c>
      <x:c r="AB464" t="str">
        <x:v>Medium-High</x:v>
      </x:c>
      <x:c r="AC464" t="str"/>
      <x:c r="AD464" t="str">
        <x:v>Mock rater record for experiment design; audit against real video outputs before publication.</x:v>
      </x:c>
    </x:row>
    <x:row r="465">
      <x:c r="A465" t="str">
        <x:v>S078-Sora-CON</x:v>
      </x:c>
      <x:c r="B465" t="str">
        <x:v>S078</x:v>
      </x:c>
      <x:c r="C465" t="str">
        <x:v>Painting</x:v>
      </x:c>
      <x:c r="D465" t="str">
        <x:v>mixing</x:v>
      </x:c>
      <x:c r="E465" t="str">
        <x:v>stirring</x:v>
      </x:c>
      <x:c r="F465" t="n">
        <x:v>1</x:v>
      </x:c>
      <x:c r="G465" t="str">
        <x:v>stir a paint can until the color looks uniform</x:v>
      </x:c>
      <x:c r="H465" t="str">
        <x:v>paint stir stick</x:v>
      </x:c>
      <x:c r="I465" t="str">
        <x:v>paint can</x:v>
      </x:c>
      <x:c r="J465" t="str">
        <x:v>Sora 2 Pro</x:v>
      </x:c>
      <x:c r="K465" t="str">
        <x:v>Constraint-Rich Negative Prompt</x:v>
      </x:c>
      <x:c r="L465" t="str">
        <x:v>Adds concise no-floating-tools/no-extra-objects/no-morphing constraints.</x:v>
      </x:c>
      <x:c r="M465" t="str">
        <x:v>Close-up realistic instructional DIY video: stir a paint can until the color looks uniform. Show paint stir stick working on paint can. Hands visible, stable camera, no text overlay, neutral shop lighting. Constraints: no floating tools, no extra tools, no morphing hands, no reversed motion, no impossible deformation, no dramatic camera spin. Keep the full action legible.</x:v>
      </x:c>
      <x:c r="N465" s="14" t="n">
        <x:v>8</x:v>
      </x:c>
      <x:c r="O465" s="14" t="n">
        <x:v>100781</x:v>
      </x:c>
      <x:c r="P465" t="str">
        <x:v>R-A</x:v>
      </x:c>
      <x:c r="Q465" s="12" t="n">
        <x:v>4.49</x:v>
      </x:c>
      <x:c r="R465" s="12" t="n">
        <x:v>4.19</x:v>
      </x:c>
      <x:c r="S465" s="12" t="n">
        <x:v>4.38</x:v>
      </x:c>
      <x:c r="T465" s="12" t="n">
        <x:v>4.54</x:v>
      </x:c>
      <x:c r="U465" s="12" t="n">
        <x:v>4.15</x:v>
      </x:c>
      <x:c r="V465" s="12" t="n">
        <x:v>4.78</x:v>
      </x:c>
      <x:c r="W465" s="12" t="n">
        <x:f>ROUND((Q465*0.24)+(R465*0.22)+(S465*0.16)+(T465*0.18)+(U465*0.10)+(V465*0.10),2)</x:f>
        <x:v>4.41</x:v>
      </x:c>
      <x:c r="X465" t="str">
        <x:f>IF(W465&gt;=3.55,"Pass","Fail")</x:f>
        <x:v>Pass</x:v>
      </x:c>
      <x:c r="Y465" t="str">
        <x:v>none</x:v>
      </x:c>
      <x:c r="Z465" t="str">
        <x:v>Review note: The clip feels like a usable shop-demo take. I can see the hand position and the paint can; it just needs a slightly longer hold on the final state. I would keep the same camera angle but ask for a tighter view of the contact point. The negative constraints help, but they do not fully solve the mechanics.</x:v>
      </x:c>
      <x:c r="AA465" t="str">
        <x:v>No immediate re-run; keep as candidate and verify with a second rater.</x:v>
      </x:c>
      <x:c r="AB465" t="str">
        <x:v>Medium</x:v>
      </x:c>
      <x:c r="AC465" t="str"/>
      <x:c r="AD465" t="str">
        <x:v>Mock rater record for experiment design; audit against real video outputs before publication.</x:v>
      </x:c>
    </x:row>
    <x:row r="466">
      <x:c r="A466" t="str">
        <x:v>S078-Runway-CON</x:v>
      </x:c>
      <x:c r="B466" t="str">
        <x:v>S078</x:v>
      </x:c>
      <x:c r="C466" t="str">
        <x:v>Painting</x:v>
      </x:c>
      <x:c r="D466" t="str">
        <x:v>mixing</x:v>
      </x:c>
      <x:c r="E466" t="str">
        <x:v>stirring</x:v>
      </x:c>
      <x:c r="F466" t="n">
        <x:v>1</x:v>
      </x:c>
      <x:c r="G466" t="str">
        <x:v>stir a paint can until the color looks uniform</x:v>
      </x:c>
      <x:c r="H466" t="str">
        <x:v>paint stir stick</x:v>
      </x:c>
      <x:c r="I466" t="str">
        <x:v>paint can</x:v>
      </x:c>
      <x:c r="J466" t="str">
        <x:v>Runway Gen-4.5</x:v>
      </x:c>
      <x:c r="K466" t="str">
        <x:v>Constraint-Rich Negative Prompt</x:v>
      </x:c>
      <x:c r="L466" t="str">
        <x:v>Adds concise no-floating-tools/no-extra-objects/no-morphing constraints.</x:v>
      </x:c>
      <x:c r="M466" t="str">
        <x:v>Close-up realistic instructional DIY video: stir a paint can until the color looks uniform. Show paint stir stick working on paint can. Hands visible, stable camera, no text overlay, neutral shop lighting. Constraints: no floating tools, no extra tools, no morphing hands, no reversed motion, no impossible deformation, no dramatic camera spin. Keep the full action legible.</x:v>
      </x:c>
      <x:c r="N466" s="14" t="n">
        <x:v>5</x:v>
      </x:c>
      <x:c r="O466" s="14" t="n">
        <x:v>100782</x:v>
      </x:c>
      <x:c r="P466" t="str">
        <x:v>R-D</x:v>
      </x:c>
      <x:c r="Q466" s="12" t="n">
        <x:v>4.22</x:v>
      </x:c>
      <x:c r="R466" s="12" t="n">
        <x:v>4.01</x:v>
      </x:c>
      <x:c r="S466" s="12" t="n">
        <x:v>4.4</x:v>
      </x:c>
      <x:c r="T466" s="12" t="n">
        <x:v>4.12</x:v>
      </x:c>
      <x:c r="U466" s="12" t="n">
        <x:v>3.6</x:v>
      </x:c>
      <x:c r="V466" s="12" t="n">
        <x:v>4.1</x:v>
      </x:c>
      <x:c r="W466" s="12" t="n">
        <x:f>ROUND((Q466*0.24)+(R466*0.22)+(S466*0.16)+(T466*0.18)+(U466*0.10)+(V466*0.10),2)</x:f>
        <x:v>4.11</x:v>
      </x:c>
      <x:c r="X466" t="str">
        <x:f>IF(W466&gt;=3.55,"Pass","Fail")</x:f>
        <x:v>Pass</x:v>
      </x:c>
      <x:c r="Y466" t="str">
        <x:v>contact point hidden</x:v>
      </x:c>
      <x:c r="Z466" t="str">
        <x:v>Clip review: I would keep this as a rough candidate. It communicates the step, although the failure mode makes it weaker than a real sourced clip: contact point hidden. The mistake appears late, so a simple thumbnail review would probably miss it. The negative constraints help, but they do not fully solve the mechanics.</x:v>
      </x:c>
      <x:c r="AA466" t="str">
        <x:v>Move safety language earlier in the prompt and remove cinematic camera instructions.</x:v>
      </x:c>
      <x:c r="AB466" t="str">
        <x:v>High</x:v>
      </x:c>
      <x:c r="AC466" t="str"/>
      <x:c r="AD466" t="str">
        <x:v>Synthetic benchmark entry; generated clip URL should be filled after API run.</x:v>
      </x:c>
    </x:row>
    <x:row r="467">
      <x:c r="A467" t="str">
        <x:v>S078-Kling-CON</x:v>
      </x:c>
      <x:c r="B467" t="str">
        <x:v>S078</x:v>
      </x:c>
      <x:c r="C467" t="str">
        <x:v>Painting</x:v>
      </x:c>
      <x:c r="D467" t="str">
        <x:v>mixing</x:v>
      </x:c>
      <x:c r="E467" t="str">
        <x:v>stirring</x:v>
      </x:c>
      <x:c r="F467" t="n">
        <x:v>1</x:v>
      </x:c>
      <x:c r="G467" t="str">
        <x:v>stir a paint can until the color looks uniform</x:v>
      </x:c>
      <x:c r="H467" t="str">
        <x:v>paint stir stick</x:v>
      </x:c>
      <x:c r="I467" t="str">
        <x:v>paint can</x:v>
      </x:c>
      <x:c r="J467" t="str">
        <x:v>Kling v3.0 (Replicate)</x:v>
      </x:c>
      <x:c r="K467" t="str">
        <x:v>Constraint-Rich Negative Prompt</x:v>
      </x:c>
      <x:c r="L467" t="str">
        <x:v>Adds concise no-floating-tools/no-extra-objects/no-morphing constraints.</x:v>
      </x:c>
      <x:c r="M467" t="str">
        <x:v>Close-up realistic instructional DIY video: stir a paint can until the color looks uniform. Show paint stir stick working on paint can. Hands visible, stable camera, no text overlay, neutral shop lighting. Constraints: no floating tools, no extra tools, no morphing hands, no reversed motion, no impossible deformation, no dramatic camera spin. Keep the full action legible.</x:v>
      </x:c>
      <x:c r="N467" s="14" t="n">
        <x:v>10</x:v>
      </x:c>
      <x:c r="O467" s="14" t="n">
        <x:v>100783</x:v>
      </x:c>
      <x:c r="P467" t="str">
        <x:v>R-D</x:v>
      </x:c>
      <x:c r="Q467" s="12" t="n">
        <x:v>3.92</x:v>
      </x:c>
      <x:c r="R467" s="12" t="n">
        <x:v>4.01</x:v>
      </x:c>
      <x:c r="S467" s="12" t="n">
        <x:v>3.69</x:v>
      </x:c>
      <x:c r="T467" s="12" t="n">
        <x:v>4.01</x:v>
      </x:c>
      <x:c r="U467" s="12" t="n">
        <x:v>4.45</x:v>
      </x:c>
      <x:c r="V467" s="12" t="n">
        <x:v>3.86</x:v>
      </x:c>
      <x:c r="W467" s="12" t="n">
        <x:f>ROUND((Q467*0.24)+(R467*0.22)+(S467*0.16)+(T467*0.18)+(U467*0.10)+(V467*0.10),2)</x:f>
        <x:v>3.97</x:v>
      </x:c>
      <x:c r="X467" t="str">
        <x:f>IF(W467&gt;=3.55,"Pass","Fail")</x:f>
        <x:v>Pass</x:v>
      </x:c>
      <x:c r="Y467" t="str">
        <x:v>none</x:v>
      </x:c>
      <x:c r="Z467" t="str">
        <x:v>QA note: Usable, but I would not show it without review. The paint stir stick is recognizable, yet the exact contact point is hard to see when the hand crosses the frame. The mistake appears late, so a simple thumbnail review would probably miss it. The negative constraints help, but they do not fully solve the mechanics.</x:v>
      </x:c>
      <x:c r="AA467" t="str">
        <x:v>Break the action into start, contact, movement, and finish; ban extra tools and hand morphing.</x:v>
      </x:c>
      <x:c r="AB467" t="str">
        <x:v>Medium</x:v>
      </x:c>
      <x:c r="AC467" t="str"/>
      <x:c r="AD467" t="str">
        <x:v>Synthetic benchmark entry; generated clip URL should be filled after API run.</x:v>
      </x:c>
    </x:row>
    <x:row r="468">
      <x:c r="A468" t="str">
        <x:v>S078-Pika-CON</x:v>
      </x:c>
      <x:c r="B468" t="str">
        <x:v>S078</x:v>
      </x:c>
      <x:c r="C468" t="str">
        <x:v>Painting</x:v>
      </x:c>
      <x:c r="D468" t="str">
        <x:v>mixing</x:v>
      </x:c>
      <x:c r="E468" t="str">
        <x:v>stirring</x:v>
      </x:c>
      <x:c r="F468" t="n">
        <x:v>1</x:v>
      </x:c>
      <x:c r="G468" t="str">
        <x:v>stir a paint can until the color looks uniform</x:v>
      </x:c>
      <x:c r="H468" t="str">
        <x:v>paint stir stick</x:v>
      </x:c>
      <x:c r="I468" t="str">
        <x:v>paint can</x:v>
      </x:c>
      <x:c r="J468" t="str">
        <x:v>Pika 2.2</x:v>
      </x:c>
      <x:c r="K468" t="str">
        <x:v>Constraint-Rich Negative Prompt</x:v>
      </x:c>
      <x:c r="L468" t="str">
        <x:v>Adds concise no-floating-tools/no-extra-objects/no-morphing constraints.</x:v>
      </x:c>
      <x:c r="M468" t="str">
        <x:v>Close-up realistic instructional DIY video: stir a paint can until the color looks uniform. Show paint stir stick working on paint can. Hands visible, stable camera, no text overlay, neutral shop lighting. Constraints: no floating tools, no extra tools, no morphing hands, no reversed motion, no impossible deformation, no dramatic camera spin. Keep the full action legible.</x:v>
      </x:c>
      <x:c r="N468" s="14" t="n">
        <x:v>5</x:v>
      </x:c>
      <x:c r="O468" s="14" t="n">
        <x:v>100784</x:v>
      </x:c>
      <x:c r="P468" t="str">
        <x:v>R-B</x:v>
      </x:c>
      <x:c r="Q468" s="12" t="n">
        <x:v>3.63</x:v>
      </x:c>
      <x:c r="R468" s="12" t="n">
        <x:v>3.93</x:v>
      </x:c>
      <x:c r="S468" s="12" t="n">
        <x:v>4.08</x:v>
      </x:c>
      <x:c r="T468" s="12" t="n">
        <x:v>4</x:v>
      </x:c>
      <x:c r="U468" s="12" t="n">
        <x:v>4.08</x:v>
      </x:c>
      <x:c r="V468" s="12" t="n">
        <x:v>4.13</x:v>
      </x:c>
      <x:c r="W468" s="12" t="n">
        <x:f>ROUND((Q468*0.24)+(R468*0.22)+(S468*0.16)+(T468*0.18)+(U468*0.10)+(V468*0.10),2)</x:f>
        <x:v>3.93</x:v>
      </x:c>
      <x:c r="X468" t="str">
        <x:f>IF(W468&gt;=3.55,"Pass","Fail")</x:f>
        <x:v>Pass</x:v>
      </x:c>
      <x:c r="Y468" t="str">
        <x:v>contact point hidden</x:v>
      </x:c>
      <x:c r="Z468" t="str">
        <x:v>Review note: I would keep this as a rough candidate. It communicates the step, although the failure mode makes it weaker than a real sourced clip: contact point hidden. This reads better as a teaser than as an instructional clip. The negative constraints help, but they do not fully solve the mechanics.</x:v>
      </x:c>
      <x:c r="AA468" t="str">
        <x:v>Ask for a static close-up and require the paint stir stick to touch the paint can before any motion starts.</x:v>
      </x:c>
      <x:c r="AB468" t="str">
        <x:v>Medium-High</x:v>
      </x:c>
      <x:c r="AC468" t="str"/>
      <x:c r="AD468" t="str">
        <x:v>Mock rater record for experiment design; audit against real video outputs before publication.</x:v>
      </x:c>
    </x:row>
    <x:row r="469">
      <x:c r="A469" t="str">
        <x:v>S078-Vidu-CON</x:v>
      </x:c>
      <x:c r="B469" t="str">
        <x:v>S078</x:v>
      </x:c>
      <x:c r="C469" t="str">
        <x:v>Painting</x:v>
      </x:c>
      <x:c r="D469" t="str">
        <x:v>mixing</x:v>
      </x:c>
      <x:c r="E469" t="str">
        <x:v>stirring</x:v>
      </x:c>
      <x:c r="F469" t="n">
        <x:v>1</x:v>
      </x:c>
      <x:c r="G469" t="str">
        <x:v>stir a paint can until the color looks uniform</x:v>
      </x:c>
      <x:c r="H469" t="str">
        <x:v>paint stir stick</x:v>
      </x:c>
      <x:c r="I469" t="str">
        <x:v>paint can</x:v>
      </x:c>
      <x:c r="J469" t="str">
        <x:v>Vidu 2.0</x:v>
      </x:c>
      <x:c r="K469" t="str">
        <x:v>Constraint-Rich Negative Prompt</x:v>
      </x:c>
      <x:c r="L469" t="str">
        <x:v>Adds concise no-floating-tools/no-extra-objects/no-morphing constraints.</x:v>
      </x:c>
      <x:c r="M469" t="str">
        <x:v>Close-up realistic instructional DIY video: stir a paint can until the color looks uniform. Show paint stir stick working on paint can. Hands visible, stable camera, no text overlay, neutral shop lighting. Constraints: no floating tools, no extra tools, no morphing hands, no reversed motion, no impossible deformation, no dramatic camera spin. Keep the full action legible.</x:v>
      </x:c>
      <x:c r="N469" s="14" t="n">
        <x:v>5</x:v>
      </x:c>
      <x:c r="O469" s="14" t="n">
        <x:v>100785</x:v>
      </x:c>
      <x:c r="P469" t="str">
        <x:v>R-D</x:v>
      </x:c>
      <x:c r="Q469" s="12" t="n">
        <x:v>3.48</x:v>
      </x:c>
      <x:c r="R469" s="12" t="n">
        <x:v>3.53</x:v>
      </x:c>
      <x:c r="S469" s="12" t="n">
        <x:v>3.69</x:v>
      </x:c>
      <x:c r="T469" s="12" t="n">
        <x:v>3.72</x:v>
      </x:c>
      <x:c r="U469" s="12" t="n">
        <x:v>3.86</x:v>
      </x:c>
      <x:c r="V469" s="12" t="n">
        <x:v>3.53</x:v>
      </x:c>
      <x:c r="W469" s="12" t="n">
        <x:f>ROUND((Q469*0.24)+(R469*0.22)+(S469*0.16)+(T469*0.18)+(U469*0.10)+(V469*0.10),2)</x:f>
        <x:v>3.61</x:v>
      </x:c>
      <x:c r="X469" t="str">
        <x:f>IF(W469&gt;=3.55,"Pass","Fail")</x:f>
        <x:v>Pass</x:v>
      </x:c>
      <x:c r="Y469" t="str">
        <x:v>force/torque reads wrong</x:v>
      </x:c>
      <x:c r="Z469" t="str">
        <x:v>QA note: I would keep this as a rough candidate. It communicates the step, although the failure mode makes it weaker than a real sourced clip: force/torque reads wrong. The issue is subtle visually, but it matters because the clip is supposed to teach the technique. The negative constraints help, but they do not fully solve the mechanics.</x:v>
      </x:c>
      <x:c r="AA469" t="str">
        <x:v>Ask for a static close-up and require the paint stir stick to touch the paint can before any motion starts.</x:v>
      </x:c>
      <x:c r="AB469" t="str">
        <x:v>Medium</x:v>
      </x:c>
      <x:c r="AC469" t="str"/>
      <x:c r="AD469" t="str">
        <x:v>Simulated pilot row for planning; replace with blinded ratings after generating actual clips.</x:v>
      </x:c>
    </x:row>
    <x:row r="470">
      <x:c r="A470" t="str">
        <x:v>S079-Veo-DIR</x:v>
      </x:c>
      <x:c r="B470" t="str">
        <x:v>S079</x:v>
      </x:c>
      <x:c r="C470" t="str">
        <x:v>Painting</x:v>
      </x:c>
      <x:c r="D470" t="str">
        <x:v>edging</x:v>
      </x:c>
      <x:c r="E470" t="str">
        <x:v>holding</x:v>
      </x:c>
      <x:c r="F470" t="n">
        <x:v>3</x:v>
      </x:c>
      <x:c r="G470" t="str">
        <x:v>hold an edging tool flat against trim while painting</x:v>
      </x:c>
      <x:c r="H470" t="str">
        <x:v>edging tool</x:v>
      </x:c>
      <x:c r="I470" t="str">
        <x:v>trim edge, wall paint</x:v>
      </x:c>
      <x:c r="J470" t="str">
        <x:v>Veo 3.1</x:v>
      </x:c>
      <x:c r="K470" t="str">
        <x:v>Direct Natural Language</x:v>
      </x:c>
      <x:c r="L470" t="str">
        <x:v>Baseline wording only; no explicit decomposition.</x:v>
      </x:c>
      <x:c r="M470" t="str">
        <x:v>Close-up realistic instructional DIY video: hold an edging tool flat against trim while painting. Show edging tool working on trim edge, wall paint. Hands visible, stable camera, no text overlay, neutral shop lighting.</x:v>
      </x:c>
      <x:c r="N470" s="14" t="n">
        <x:v>8</x:v>
      </x:c>
      <x:c r="O470" s="14" t="n">
        <x:v>100790</x:v>
      </x:c>
      <x:c r="P470" t="str">
        <x:v>R-D</x:v>
      </x:c>
      <x:c r="Q470" s="12" t="n">
        <x:v>4.32</x:v>
      </x:c>
      <x:c r="R470" s="12" t="n">
        <x:v>3.3</x:v>
      </x:c>
      <x:c r="S470" s="12" t="n">
        <x:v>3.99</x:v>
      </x:c>
      <x:c r="T470" s="12" t="n">
        <x:v>3.9</x:v>
      </x:c>
      <x:c r="U470" s="12" t="n">
        <x:v>3.95</x:v>
      </x:c>
      <x:c r="V470" s="12" t="n">
        <x:v>4.02</x:v>
      </x:c>
      <x:c r="W470" s="12" t="n">
        <x:f>ROUND((Q470*0.24)+(R470*0.22)+(S470*0.16)+(T470*0.18)+(U470*0.10)+(V470*0.10),2)</x:f>
        <x:v>3.9</x:v>
      </x:c>
      <x:c r="X470" t="str">
        <x:f>IF(W470&gt;=3.55,"Pass","Fail")</x:f>
        <x:v>Pass</x:v>
      </x:c>
      <x:c r="Y470" t="str">
        <x:v>contact point hidden</x:v>
      </x:c>
      <x:c r="Z470" t="str">
        <x:v>Rater note: The intention is clear, especially if you already know the step. A novice might miss the key detail because this issue appears right where the action should be most explicit: contact point hidden. This reads better as a teaser than as an instructional clip. For this painting example, the main judgment is still whether the viewer can copy the motion.</x:v>
      </x:c>
      <x:c r="AA470" t="str">
        <x:v>Add a one-sentence end-state requirement: viewer must see the completed holding result for one full second.</x:v>
      </x:c>
      <x:c r="AB470" t="str">
        <x:v>Medium</x:v>
      </x:c>
      <x:c r="AC470" t="str"/>
      <x:c r="AD470" t="str">
        <x:v>Synthetic benchmark entry; generated clip URL should be filled after API run.</x:v>
      </x:c>
    </x:row>
    <x:row r="471">
      <x:c r="A471" t="str">
        <x:v>S079-Sora-DIR</x:v>
      </x:c>
      <x:c r="B471" t="str">
        <x:v>S079</x:v>
      </x:c>
      <x:c r="C471" t="str">
        <x:v>Painting</x:v>
      </x:c>
      <x:c r="D471" t="str">
        <x:v>edging</x:v>
      </x:c>
      <x:c r="E471" t="str">
        <x:v>holding</x:v>
      </x:c>
      <x:c r="F471" t="n">
        <x:v>3</x:v>
      </x:c>
      <x:c r="G471" t="str">
        <x:v>hold an edging tool flat against trim while painting</x:v>
      </x:c>
      <x:c r="H471" t="str">
        <x:v>edging tool</x:v>
      </x:c>
      <x:c r="I471" t="str">
        <x:v>trim edge, wall paint</x:v>
      </x:c>
      <x:c r="J471" t="str">
        <x:v>Sora 2 Pro</x:v>
      </x:c>
      <x:c r="K471" t="str">
        <x:v>Direct Natural Language</x:v>
      </x:c>
      <x:c r="L471" t="str">
        <x:v>Baseline wording only; no explicit decomposition.</x:v>
      </x:c>
      <x:c r="M471" t="str">
        <x:v>Close-up realistic instructional DIY video: hold an edging tool flat against trim while painting. Show edging tool working on trim edge, wall paint. Hands visible, stable camera, no text overlay, neutral shop lighting.</x:v>
      </x:c>
      <x:c r="N471" s="14" t="n">
        <x:v>8</x:v>
      </x:c>
      <x:c r="O471" s="14" t="n">
        <x:v>100791</x:v>
      </x:c>
      <x:c r="P471" t="str">
        <x:v>R-E</x:v>
      </x:c>
      <x:c r="Q471" s="12" t="n">
        <x:v>4.08</x:v>
      </x:c>
      <x:c r="R471" s="12" t="n">
        <x:v>4</x:v>
      </x:c>
      <x:c r="S471" s="12" t="n">
        <x:v>4.09</x:v>
      </x:c>
      <x:c r="T471" s="12" t="n">
        <x:v>4.82</x:v>
      </x:c>
      <x:c r="U471" s="12" t="n">
        <x:v>3.33</x:v>
      </x:c>
      <x:c r="V471" s="12" t="n">
        <x:v>4</x:v>
      </x:c>
      <x:c r="W471" s="12" t="n">
        <x:f>ROUND((Q471*0.24)+(R471*0.22)+(S471*0.16)+(T471*0.18)+(U471*0.10)+(V471*0.10),2)</x:f>
        <x:v>4.11</x:v>
      </x:c>
      <x:c r="X471" t="str">
        <x:f>IF(W471&gt;=3.55,"Pass","Fail")</x:f>
        <x:v>Pass</x:v>
      </x:c>
      <x:c r="Y471" t="str">
        <x:v>endpoint not visible</x:v>
      </x:c>
      <x:c r="Z471" t="str">
        <x:v>Review note: I would keep this as a rough candidate. It communicates the step, although the failure mode makes it weaker than a real sourced clip: endpoint not visible. On a small preview it might pass, but full-screen review exposes the issue. For this painting example, the main judgment is still whether the viewer can copy the motion.</x:v>
      </x:c>
      <x:c r="AA471" t="str">
        <x:v>Move safety language earlier in the prompt and remove cinematic camera instructions.</x:v>
      </x:c>
      <x:c r="AB471" t="str">
        <x:v>Medium</x:v>
      </x:c>
      <x:c r="AC471" t="str"/>
      <x:c r="AD471" t="str">
        <x:v>Synthetic benchmark entry; generated clip URL should be filled after API run.</x:v>
      </x:c>
    </x:row>
    <x:row r="472">
      <x:c r="A472" t="str">
        <x:v>S079-Runway-DIR</x:v>
      </x:c>
      <x:c r="B472" t="str">
        <x:v>S079</x:v>
      </x:c>
      <x:c r="C472" t="str">
        <x:v>Painting</x:v>
      </x:c>
      <x:c r="D472" t="str">
        <x:v>edging</x:v>
      </x:c>
      <x:c r="E472" t="str">
        <x:v>holding</x:v>
      </x:c>
      <x:c r="F472" t="n">
        <x:v>3</x:v>
      </x:c>
      <x:c r="G472" t="str">
        <x:v>hold an edging tool flat against trim while painting</x:v>
      </x:c>
      <x:c r="H472" t="str">
        <x:v>edging tool</x:v>
      </x:c>
      <x:c r="I472" t="str">
        <x:v>trim edge, wall paint</x:v>
      </x:c>
      <x:c r="J472" t="str">
        <x:v>Runway Gen-4.5</x:v>
      </x:c>
      <x:c r="K472" t="str">
        <x:v>Direct Natural Language</x:v>
      </x:c>
      <x:c r="L472" t="str">
        <x:v>Baseline wording only; no explicit decomposition.</x:v>
      </x:c>
      <x:c r="M472" t="str">
        <x:v>Close-up realistic instructional DIY video: hold an edging tool flat against trim while painting. Show edging tool working on trim edge, wall paint. Hands visible, stable camera, no text overlay, neutral shop lighting.</x:v>
      </x:c>
      <x:c r="N472" s="14" t="n">
        <x:v>5</x:v>
      </x:c>
      <x:c r="O472" s="14" t="n">
        <x:v>100792</x:v>
      </x:c>
      <x:c r="P472" t="str">
        <x:v>R-A</x:v>
      </x:c>
      <x:c r="Q472" s="12" t="n">
        <x:v>3.46</x:v>
      </x:c>
      <x:c r="R472" s="12" t="n">
        <x:v>3.71</x:v>
      </x:c>
      <x:c r="S472" s="12" t="n">
        <x:v>3.93</x:v>
      </x:c>
      <x:c r="T472" s="12" t="n">
        <x:v>3.46</x:v>
      </x:c>
      <x:c r="U472" s="12" t="n">
        <x:v>4.18</x:v>
      </x:c>
      <x:c r="V472" s="12" t="n">
        <x:v>4.22</x:v>
      </x:c>
      <x:c r="W472" s="12" t="n">
        <x:f>ROUND((Q472*0.24)+(R472*0.22)+(S472*0.16)+(T472*0.18)+(U472*0.10)+(V472*0.10),2)</x:f>
        <x:v>3.74</x:v>
      </x:c>
      <x:c r="X472" t="str">
        <x:f>IF(W472&gt;=3.55,"Pass","Fail")</x:f>
        <x:v>Pass</x:v>
      </x:c>
      <x:c r="Y472" t="str">
        <x:v>endpoint not visible</x:v>
      </x:c>
      <x:c r="Z472" t="str">
        <x:v>Clip review: Looks plausible at first glance. On a second pass, the trim edge, wall paint shifts slightly and the model seems to infer the outcome rather than show the full holding. The most important fix is to show the before-and-after state without a cut. The baseline prompt is likely under-specifying the tool path.</x:v>
      </x:c>
      <x:c r="AA472" t="str">
        <x:v>Use a reference image for the edging tool and specify its grip/orientation in plain language.</x:v>
      </x:c>
      <x:c r="AB472" t="str">
        <x:v>Medium</x:v>
      </x:c>
      <x:c r="AC472" t="str"/>
      <x:c r="AD472" t="str">
        <x:v>Synthetic benchmark entry; generated clip URL should be filled after API run.</x:v>
      </x:c>
    </x:row>
    <x:row r="473">
      <x:c r="A473" t="str">
        <x:v>S079-Kling-DIR</x:v>
      </x:c>
      <x:c r="B473" t="str">
        <x:v>S079</x:v>
      </x:c>
      <x:c r="C473" t="str">
        <x:v>Painting</x:v>
      </x:c>
      <x:c r="D473" t="str">
        <x:v>edging</x:v>
      </x:c>
      <x:c r="E473" t="str">
        <x:v>holding</x:v>
      </x:c>
      <x:c r="F473" t="n">
        <x:v>3</x:v>
      </x:c>
      <x:c r="G473" t="str">
        <x:v>hold an edging tool flat against trim while painting</x:v>
      </x:c>
      <x:c r="H473" t="str">
        <x:v>edging tool</x:v>
      </x:c>
      <x:c r="I473" t="str">
        <x:v>trim edge, wall paint</x:v>
      </x:c>
      <x:c r="J473" t="str">
        <x:v>Kling v3.0 (Replicate)</x:v>
      </x:c>
      <x:c r="K473" t="str">
        <x:v>Direct Natural Language</x:v>
      </x:c>
      <x:c r="L473" t="str">
        <x:v>Baseline wording only; no explicit decomposition.</x:v>
      </x:c>
      <x:c r="M473" t="str">
        <x:v>Close-up realistic instructional DIY video: hold an edging tool flat against trim while painting. Show edging tool working on trim edge, wall paint. Hands visible, stable camera, no text overlay, neutral shop lighting.</x:v>
      </x:c>
      <x:c r="N473" s="14" t="n">
        <x:v>10</x:v>
      </x:c>
      <x:c r="O473" s="14" t="n">
        <x:v>100793</x:v>
      </x:c>
      <x:c r="P473" t="str">
        <x:v>R-B</x:v>
      </x:c>
      <x:c r="Q473" s="12" t="n">
        <x:v>3.52</x:v>
      </x:c>
      <x:c r="R473" s="12" t="n">
        <x:v>4.16</x:v>
      </x:c>
      <x:c r="S473" s="12" t="n">
        <x:v>3.66</x:v>
      </x:c>
      <x:c r="T473" s="12" t="n">
        <x:v>3.68</x:v>
      </x:c>
      <x:c r="U473" s="12" t="n">
        <x:v>3.81</x:v>
      </x:c>
      <x:c r="V473" s="12" t="n">
        <x:v>3.34</x:v>
      </x:c>
      <x:c r="W473" s="12" t="n">
        <x:f>ROUND((Q473*0.24)+(R473*0.22)+(S473*0.16)+(T473*0.18)+(U473*0.10)+(V473*0.10),2)</x:f>
        <x:v>3.72</x:v>
      </x:c>
      <x:c r="X473" t="str">
        <x:f>IF(W473&gt;=3.55,"Pass","Fail")</x:f>
        <x:v>Pass</x:v>
      </x:c>
      <x:c r="Y473" t="str">
        <x:v>camera blocks work</x:v>
      </x:c>
      <x:c r="Z473" t="str">
        <x:v>Rater note: I would keep this as a rough candidate. It communicates the step, although the failure mode makes it weaker than a real sourced clip: camera blocks work. The prompt should prioritize hand path over cinematic lighting. The baseline prompt is likely under-specifying the tool path.</x:v>
      </x:c>
      <x:c r="AA473" t="str">
        <x:v>Use sequential context only for continuity, not for adding previous/next steps into the frame.</x:v>
      </x:c>
      <x:c r="AB473" t="str">
        <x:v>Medium-High</x:v>
      </x:c>
      <x:c r="AC473" t="str"/>
      <x:c r="AD473" t="str">
        <x:v>Synthetic benchmark entry; generated clip URL should be filled after API run.</x:v>
      </x:c>
    </x:row>
    <x:row r="474">
      <x:c r="A474" t="str">
        <x:v>S079-Pika-DIR</x:v>
      </x:c>
      <x:c r="B474" t="str">
        <x:v>S079</x:v>
      </x:c>
      <x:c r="C474" t="str">
        <x:v>Painting</x:v>
      </x:c>
      <x:c r="D474" t="str">
        <x:v>edging</x:v>
      </x:c>
      <x:c r="E474" t="str">
        <x:v>holding</x:v>
      </x:c>
      <x:c r="F474" t="n">
        <x:v>3</x:v>
      </x:c>
      <x:c r="G474" t="str">
        <x:v>hold an edging tool flat against trim while painting</x:v>
      </x:c>
      <x:c r="H474" t="str">
        <x:v>edging tool</x:v>
      </x:c>
      <x:c r="I474" t="str">
        <x:v>trim edge, wall paint</x:v>
      </x:c>
      <x:c r="J474" t="str">
        <x:v>Pika 2.2</x:v>
      </x:c>
      <x:c r="K474" t="str">
        <x:v>Direct Natural Language</x:v>
      </x:c>
      <x:c r="L474" t="str">
        <x:v>Baseline wording only; no explicit decomposition.</x:v>
      </x:c>
      <x:c r="M474" t="str">
        <x:v>Close-up realistic instructional DIY video: hold an edging tool flat against trim while painting. Show edging tool working on trim edge, wall paint. Hands visible, stable camera, no text overlay, neutral shop lighting.</x:v>
      </x:c>
      <x:c r="N474" s="14" t="n">
        <x:v>5</x:v>
      </x:c>
      <x:c r="O474" s="14" t="n">
        <x:v>100794</x:v>
      </x:c>
      <x:c r="P474" t="str">
        <x:v>R-C</x:v>
      </x:c>
      <x:c r="Q474" s="12" t="n">
        <x:v>2.89</x:v>
      </x:c>
      <x:c r="R474" s="12" t="n">
        <x:v>3.77</x:v>
      </x:c>
      <x:c r="S474" s="12" t="n">
        <x:v>4.11</x:v>
      </x:c>
      <x:c r="T474" s="12" t="n">
        <x:v>2.84</x:v>
      </x:c>
      <x:c r="U474" s="12" t="n">
        <x:v>3.55</x:v>
      </x:c>
      <x:c r="V474" s="12" t="n">
        <x:v>3.01</x:v>
      </x:c>
      <x:c r="W474" s="12" t="n">
        <x:f>ROUND((Q474*0.24)+(R474*0.22)+(S474*0.16)+(T474*0.18)+(U474*0.10)+(V474*0.10),2)</x:f>
        <x:v>3.35</x:v>
      </x:c>
      <x:c r="X474" t="str">
        <x:f>IF(W474&gt;=3.55,"Pass","Fail")</x:f>
        <x:v>Fail</x:v>
      </x:c>
      <x:c r="Y474" t="str">
        <x:v>object morphs</x:v>
      </x:c>
      <x:c r="Z474" t="str">
        <x:v>Clip review: Too much is being implied. The edging tool and trim edge, wall paint are in the scene, but the motion does not demonstrate the actual repair step. The issue is subtle visually, but it matters because the clip is supposed to teach the technique. The baseline prompt is likely under-specifying the tool path.</x:v>
      </x:c>
      <x:c r="AA474" t="str">
        <x:v>Move safety language earlier in the prompt and remove cinematic camera instructions.</x:v>
      </x:c>
      <x:c r="AB474" t="str">
        <x:v>Medium</x:v>
      </x:c>
      <x:c r="AC474" t="str"/>
      <x:c r="AD474" t="str">
        <x:v>Planning dataset only; scores are plausible placeholders, not vendor claims.</x:v>
      </x:c>
    </x:row>
    <x:row r="475">
      <x:c r="A475" t="str">
        <x:v>S079-Vidu-DIR</x:v>
      </x:c>
      <x:c r="B475" t="str">
        <x:v>S079</x:v>
      </x:c>
      <x:c r="C475" t="str">
        <x:v>Painting</x:v>
      </x:c>
      <x:c r="D475" t="str">
        <x:v>edging</x:v>
      </x:c>
      <x:c r="E475" t="str">
        <x:v>holding</x:v>
      </x:c>
      <x:c r="F475" t="n">
        <x:v>3</x:v>
      </x:c>
      <x:c r="G475" t="str">
        <x:v>hold an edging tool flat against trim while painting</x:v>
      </x:c>
      <x:c r="H475" t="str">
        <x:v>edging tool</x:v>
      </x:c>
      <x:c r="I475" t="str">
        <x:v>trim edge, wall paint</x:v>
      </x:c>
      <x:c r="J475" t="str">
        <x:v>Vidu 2.0</x:v>
      </x:c>
      <x:c r="K475" t="str">
        <x:v>Direct Natural Language</x:v>
      </x:c>
      <x:c r="L475" t="str">
        <x:v>Baseline wording only; no explicit decomposition.</x:v>
      </x:c>
      <x:c r="M475" t="str">
        <x:v>Close-up realistic instructional DIY video: hold an edging tool flat against trim while painting. Show edging tool working on trim edge, wall paint. Hands visible, stable camera, no text overlay, neutral shop lighting.</x:v>
      </x:c>
      <x:c r="N475" s="14" t="n">
        <x:v>5</x:v>
      </x:c>
      <x:c r="O475" s="14" t="n">
        <x:v>100795</x:v>
      </x:c>
      <x:c r="P475" t="str">
        <x:v>R-B</x:v>
      </x:c>
      <x:c r="Q475" s="12" t="n">
        <x:v>2.83</x:v>
      </x:c>
      <x:c r="R475" s="12" t="n">
        <x:v>2.68</x:v>
      </x:c>
      <x:c r="S475" s="12" t="n">
        <x:v>3.16</x:v>
      </x:c>
      <x:c r="T475" s="12" t="n">
        <x:v>3.03</x:v>
      </x:c>
      <x:c r="U475" s="12" t="n">
        <x:v>3.34</x:v>
      </x:c>
      <x:c r="V475" s="12" t="n">
        <x:v>3.38</x:v>
      </x:c>
      <x:c r="W475" s="12" t="n">
        <x:f>ROUND((Q475*0.24)+(R475*0.22)+(S475*0.16)+(T475*0.18)+(U475*0.10)+(V475*0.10),2)</x:f>
        <x:v>2.99</x:v>
      </x:c>
      <x:c r="X475" t="str">
        <x:f>IF(W475&gt;=3.55,"Pass","Fail")</x:f>
        <x:v>Fail</x:v>
      </x:c>
      <x:c r="Y475" t="str">
        <x:v>unsafe hand placement</x:v>
      </x:c>
      <x:c r="Z475" t="str">
        <x:v>Human check: The generated clip loses the procedure. I would re-run with a reference frame and a stricter Action-Object-Tool prompt. The prompt should prioritize hand path over cinematic lighting. The baseline prompt is likely under-specifying the tool path.</x:v>
      </x:c>
      <x:c r="AA475" t="str">
        <x:v>Ask for a static close-up and require the edging tool to touch the trim edge, wall paint before any motion starts.</x:v>
      </x:c>
      <x:c r="AB475" t="str">
        <x:v>Medium-High</x:v>
      </x:c>
      <x:c r="AC475" t="str"/>
      <x:c r="AD475" t="str">
        <x:v>Planning dataset only; scores are plausible placeholders, not vendor claims.</x:v>
      </x:c>
    </x:row>
    <x:row r="476">
      <x:c r="A476" t="str">
        <x:v>S080-Veo-STR</x:v>
      </x:c>
      <x:c r="B476" t="str">
        <x:v>S080</x:v>
      </x:c>
      <x:c r="C476" t="str">
        <x:v>Painting</x:v>
      </x:c>
      <x:c r="D476" t="str">
        <x:v>finish</x:v>
      </x:c>
      <x:c r="E476" t="str">
        <x:v>checking</x:v>
      </x:c>
      <x:c r="F476" t="n">
        <x:v>2</x:v>
      </x:c>
      <x:c r="G476" t="str">
        <x:v>inspect a wall from the side for missed spots</x:v>
      </x:c>
      <x:c r="H476" t="str">
        <x:v>work light</x:v>
      </x:c>
      <x:c r="I476" t="str">
        <x:v>freshly painted wall</x:v>
      </x:c>
      <x:c r="J476" t="str">
        <x:v>Veo 3.1</x:v>
      </x:c>
      <x:c r="K476" t="str">
        <x:v>Structured Action-Object-Tool</x:v>
      </x:c>
      <x:c r="L476" t="str">
        <x:v>Action, tool, object, grip, contact point, start/end states.</x:v>
      </x:c>
      <x:c r="M476" t="str">
        <x:v>Close-up realistic instructional DIY video: inspect a wall from the side for missed spots. Show work light working on freshly painted wall. Hands visible, stable camera, no text overlay, neutral shop lighting. Action=checking; tool=work light; object/material=freshly painted wall; show tool-to-object contact; start state, motion, and finished state all visible.</x:v>
      </x:c>
      <x:c r="N476" s="14" t="n">
        <x:v>8</x:v>
      </x:c>
      <x:c r="O476" s="14" t="n">
        <x:v>100800</x:v>
      </x:c>
      <x:c r="P476" t="str">
        <x:v>R-A</x:v>
      </x:c>
      <x:c r="Q476" s="12" t="n">
        <x:v>4.19</x:v>
      </x:c>
      <x:c r="R476" s="12" t="n">
        <x:v>4.01</x:v>
      </x:c>
      <x:c r="S476" s="12" t="n">
        <x:v>4.18</x:v>
      </x:c>
      <x:c r="T476" s="12" t="n">
        <x:v>4.05</x:v>
      </x:c>
      <x:c r="U476" s="12" t="n">
        <x:v>4.22</x:v>
      </x:c>
      <x:c r="V476" s="12" t="n">
        <x:v>4.12</x:v>
      </x:c>
      <x:c r="W476" s="12" t="n">
        <x:f>ROUND((Q476*0.24)+(R476*0.22)+(S476*0.16)+(T476*0.18)+(U476*0.10)+(V476*0.10),2)</x:f>
        <x:v>4.12</x:v>
      </x:c>
      <x:c r="X476" t="str">
        <x:f>IF(W476&gt;=3.55,"Pass","Fail")</x:f>
        <x:v>Pass</x:v>
      </x:c>
      <x:c r="Y476" t="str">
        <x:v>none</x:v>
      </x:c>
      <x:c r="Z476" t="str">
        <x:v>Review note: The clip has the right ingredients but not quite the right mechanics. It needs a tighter prompt about grip, contact, and the end position. I would keep the same camera angle but ask for a tighter view of the contact point. For this painting example, the main judgment is still whether the viewer can copy the motion.</x:v>
      </x:c>
      <x:c r="AA476" t="str">
        <x:v>Add a one-sentence end-state requirement: viewer must see the completed checking result for one full second.</x:v>
      </x:c>
      <x:c r="AB476" t="str">
        <x:v>Medium</x:v>
      </x:c>
      <x:c r="AC476" t="str"/>
      <x:c r="AD476" t="str">
        <x:v>Mock rater record for experiment design; audit against real video outputs before publication.</x:v>
      </x:c>
    </x:row>
    <x:row r="477">
      <x:c r="A477" t="str">
        <x:v>S080-Sora-STR</x:v>
      </x:c>
      <x:c r="B477" t="str">
        <x:v>S080</x:v>
      </x:c>
      <x:c r="C477" t="str">
        <x:v>Painting</x:v>
      </x:c>
      <x:c r="D477" t="str">
        <x:v>finish</x:v>
      </x:c>
      <x:c r="E477" t="str">
        <x:v>checking</x:v>
      </x:c>
      <x:c r="F477" t="n">
        <x:v>2</x:v>
      </x:c>
      <x:c r="G477" t="str">
        <x:v>inspect a wall from the side for missed spots</x:v>
      </x:c>
      <x:c r="H477" t="str">
        <x:v>work light</x:v>
      </x:c>
      <x:c r="I477" t="str">
        <x:v>freshly painted wall</x:v>
      </x:c>
      <x:c r="J477" t="str">
        <x:v>Sora 2 Pro</x:v>
      </x:c>
      <x:c r="K477" t="str">
        <x:v>Structured Action-Object-Tool</x:v>
      </x:c>
      <x:c r="L477" t="str">
        <x:v>Action, tool, object, grip, contact point, start/end states.</x:v>
      </x:c>
      <x:c r="M477" t="str">
        <x:v>Close-up realistic instructional DIY video: inspect a wall from the side for missed spots. Show work light working on freshly painted wall. Hands visible, stable camera, no text overlay, neutral shop lighting. Action=checking; tool=work light; object/material=freshly painted wall; show tool-to-object contact; start state, motion, and finished state all visible.</x:v>
      </x:c>
      <x:c r="N477" s="14" t="n">
        <x:v>8</x:v>
      </x:c>
      <x:c r="O477" s="14" t="n">
        <x:v>100801</x:v>
      </x:c>
      <x:c r="P477" t="str">
        <x:v>R-A</x:v>
      </x:c>
      <x:c r="Q477" s="12" t="n">
        <x:v>4.35</x:v>
      </x:c>
      <x:c r="R477" s="12" t="n">
        <x:v>4.53</x:v>
      </x:c>
      <x:c r="S477" s="12" t="n">
        <x:v>4.54</x:v>
      </x:c>
      <x:c r="T477" s="12" t="n">
        <x:v>4.17</x:v>
      </x:c>
      <x:c r="U477" s="12" t="n">
        <x:v>4.19</x:v>
      </x:c>
      <x:c r="V477" s="12" t="n">
        <x:v>4.25</x:v>
      </x:c>
      <x:c r="W477" s="12" t="n">
        <x:f>ROUND((Q477*0.24)+(R477*0.22)+(S477*0.16)+(T477*0.18)+(U477*0.10)+(V477*0.10),2)</x:f>
        <x:v>4.36</x:v>
      </x:c>
      <x:c r="X477" t="str">
        <x:f>IF(W477&gt;=3.55,"Pass","Fail")</x:f>
        <x:v>Pass</x:v>
      </x:c>
      <x:c r="Y477" t="str">
        <x:v>none</x:v>
      </x:c>
      <x:c r="Z477" t="str">
        <x:v>Rater note: This one would probably pass a quick review. The work light stays believable, the start and end states are easy to read, and the only nit is that overly cinematic framing. I would keep the same camera angle but ask for a tighter view of the contact point. For this painting example, the main judgment is still whether the viewer can copy the motion.</x:v>
      </x:c>
      <x:c r="AA477" t="str">
        <x:v>No immediate re-run; keep as candidate and verify with a second rater.</x:v>
      </x:c>
      <x:c r="AB477" t="str">
        <x:v>Medium-High</x:v>
      </x:c>
      <x:c r="AC477" t="str"/>
      <x:c r="AD477" t="str">
        <x:v>Mock rater record for experiment design; audit against real video outputs before publication.</x:v>
      </x:c>
    </x:row>
    <x:row r="478">
      <x:c r="A478" t="str">
        <x:v>S080-Runway-STR</x:v>
      </x:c>
      <x:c r="B478" t="str">
        <x:v>S080</x:v>
      </x:c>
      <x:c r="C478" t="str">
        <x:v>Painting</x:v>
      </x:c>
      <x:c r="D478" t="str">
        <x:v>finish</x:v>
      </x:c>
      <x:c r="E478" t="str">
        <x:v>checking</x:v>
      </x:c>
      <x:c r="F478" t="n">
        <x:v>2</x:v>
      </x:c>
      <x:c r="G478" t="str">
        <x:v>inspect a wall from the side for missed spots</x:v>
      </x:c>
      <x:c r="H478" t="str">
        <x:v>work light</x:v>
      </x:c>
      <x:c r="I478" t="str">
        <x:v>freshly painted wall</x:v>
      </x:c>
      <x:c r="J478" t="str">
        <x:v>Runway Gen-4.5</x:v>
      </x:c>
      <x:c r="K478" t="str">
        <x:v>Structured Action-Object-Tool</x:v>
      </x:c>
      <x:c r="L478" t="str">
        <x:v>Action, tool, object, grip, contact point, start/end states.</x:v>
      </x:c>
      <x:c r="M478" t="str">
        <x:v>Close-up realistic instructional DIY video: inspect a wall from the side for missed spots. Show work light working on freshly painted wall. Hands visible, stable camera, no text overlay, neutral shop lighting. Action=checking; tool=work light; object/material=freshly painted wall; show tool-to-object contact; start state, motion, and finished state all visible.</x:v>
      </x:c>
      <x:c r="N478" s="14" t="n">
        <x:v>5</x:v>
      </x:c>
      <x:c r="O478" s="14" t="n">
        <x:v>100802</x:v>
      </x:c>
      <x:c r="P478" t="str">
        <x:v>R-E</x:v>
      </x:c>
      <x:c r="Q478" s="12" t="n">
        <x:v>4.22</x:v>
      </x:c>
      <x:c r="R478" s="12" t="n">
        <x:v>4.04</x:v>
      </x:c>
      <x:c r="S478" s="12" t="n">
        <x:v>4.34</x:v>
      </x:c>
      <x:c r="T478" s="12" t="n">
        <x:v>3.98</x:v>
      </x:c>
      <x:c r="U478" s="12" t="n">
        <x:v>4.29</x:v>
      </x:c>
      <x:c r="V478" s="12" t="n">
        <x:v>4.24</x:v>
      </x:c>
      <x:c r="W478" s="12" t="n">
        <x:f>ROUND((Q478*0.24)+(R478*0.22)+(S478*0.16)+(T478*0.18)+(U478*0.10)+(V478*0.10),2)</x:f>
        <x:v>4.17</x:v>
      </x:c>
      <x:c r="X478" t="str">
        <x:f>IF(W478&gt;=3.55,"Pass","Fail")</x:f>
        <x:v>Pass</x:v>
      </x:c>
      <x:c r="Y478" t="str">
        <x:v>endpoint not visible</x:v>
      </x:c>
      <x:c r="Z478" t="str">
        <x:v>Rater note: Good continuity from frame to frame. The work light makes visual contact with the workpiece and the motion does not feel invented. The most important fix is to show the before-and-after state without a cut. For this painting example, the main judgment is still whether the viewer can copy the motion.</x:v>
      </x:c>
      <x:c r="AA478" t="str">
        <x:v>Add a one-sentence end-state requirement: viewer must see the completed checking result for one full second.</x:v>
      </x:c>
      <x:c r="AB478" t="str">
        <x:v>Medium</x:v>
      </x:c>
      <x:c r="AC478" t="str"/>
      <x:c r="AD478" t="str">
        <x:v>Mock rater record for experiment design; audit against real video outputs before publication.</x:v>
      </x:c>
    </x:row>
    <x:row r="479">
      <x:c r="A479" t="str">
        <x:v>S080-Kling-STR</x:v>
      </x:c>
      <x:c r="B479" t="str">
        <x:v>S080</x:v>
      </x:c>
      <x:c r="C479" t="str">
        <x:v>Painting</x:v>
      </x:c>
      <x:c r="D479" t="str">
        <x:v>finish</x:v>
      </x:c>
      <x:c r="E479" t="str">
        <x:v>checking</x:v>
      </x:c>
      <x:c r="F479" t="n">
        <x:v>2</x:v>
      </x:c>
      <x:c r="G479" t="str">
        <x:v>inspect a wall from the side for missed spots</x:v>
      </x:c>
      <x:c r="H479" t="str">
        <x:v>work light</x:v>
      </x:c>
      <x:c r="I479" t="str">
        <x:v>freshly painted wall</x:v>
      </x:c>
      <x:c r="J479" t="str">
        <x:v>Kling v3.0 (Replicate)</x:v>
      </x:c>
      <x:c r="K479" t="str">
        <x:v>Structured Action-Object-Tool</x:v>
      </x:c>
      <x:c r="L479" t="str">
        <x:v>Action, tool, object, grip, contact point, start/end states.</x:v>
      </x:c>
      <x:c r="M479" t="str">
        <x:v>Close-up realistic instructional DIY video: inspect a wall from the side for missed spots. Show work light working on freshly painted wall. Hands visible, stable camera, no text overlay, neutral shop lighting. Action=checking; tool=work light; object/material=freshly painted wall; show tool-to-object contact; start state, motion, and finished state all visible.</x:v>
      </x:c>
      <x:c r="N479" s="14" t="n">
        <x:v>10</x:v>
      </x:c>
      <x:c r="O479" s="14" t="n">
        <x:v>100803</x:v>
      </x:c>
      <x:c r="P479" t="str">
        <x:v>R-A</x:v>
      </x:c>
      <x:c r="Q479" s="12" t="n">
        <x:v>3.9</x:v>
      </x:c>
      <x:c r="R479" s="12" t="n">
        <x:v>3.95</x:v>
      </x:c>
      <x:c r="S479" s="12" t="n">
        <x:v>3.81</x:v>
      </x:c>
      <x:c r="T479" s="12" t="n">
        <x:v>3.56</x:v>
      </x:c>
      <x:c r="U479" s="12" t="n">
        <x:v>3.24</x:v>
      </x:c>
      <x:c r="V479" s="12" t="n">
        <x:v>3.93</x:v>
      </x:c>
      <x:c r="W479" s="12" t="n">
        <x:f>ROUND((Q479*0.24)+(R479*0.22)+(S479*0.16)+(T479*0.18)+(U479*0.10)+(V479*0.10),2)</x:f>
        <x:v>3.77</x:v>
      </x:c>
      <x:c r="X479" t="str">
        <x:f>IF(W479&gt;=3.55,"Pass","Fail")</x:f>
        <x:v>Pass</x:v>
      </x:c>
      <x:c r="Y479" t="str">
        <x:v>camera blocks work</x:v>
      </x:c>
      <x:c r="Z479" t="str">
        <x:v>QA note: I would keep this as a rough candidate. It communicates the step, although the failure mode makes it weaker than a real sourced clip: camera blocks work. The next prompt should slow the final second instead of adding more scene detail. For this painting example, the main judgment is still whether the viewer can copy the motion.</x:v>
      </x:c>
      <x:c r="AA479" t="str">
        <x:v>Break the action into start, contact, movement, and finish; ban extra tools and hand morphing.</x:v>
      </x:c>
      <x:c r="AB479" t="str">
        <x:v>Medium-High</x:v>
      </x:c>
      <x:c r="AC479" t="str"/>
      <x:c r="AD479" t="str">
        <x:v>Synthetic benchmark entry; generated clip URL should be filled after API run.</x:v>
      </x:c>
    </x:row>
    <x:row r="480">
      <x:c r="A480" t="str">
        <x:v>S080-Pika-STR</x:v>
      </x:c>
      <x:c r="B480" t="str">
        <x:v>S080</x:v>
      </x:c>
      <x:c r="C480" t="str">
        <x:v>Painting</x:v>
      </x:c>
      <x:c r="D480" t="str">
        <x:v>finish</x:v>
      </x:c>
      <x:c r="E480" t="str">
        <x:v>checking</x:v>
      </x:c>
      <x:c r="F480" t="n">
        <x:v>2</x:v>
      </x:c>
      <x:c r="G480" t="str">
        <x:v>inspect a wall from the side for missed spots</x:v>
      </x:c>
      <x:c r="H480" t="str">
        <x:v>work light</x:v>
      </x:c>
      <x:c r="I480" t="str">
        <x:v>freshly painted wall</x:v>
      </x:c>
      <x:c r="J480" t="str">
        <x:v>Pika 2.2</x:v>
      </x:c>
      <x:c r="K480" t="str">
        <x:v>Structured Action-Object-Tool</x:v>
      </x:c>
      <x:c r="L480" t="str">
        <x:v>Action, tool, object, grip, contact point, start/end states.</x:v>
      </x:c>
      <x:c r="M480" t="str">
        <x:v>Close-up realistic instructional DIY video: inspect a wall from the side for missed spots. Show work light working on freshly painted wall. Hands visible, stable camera, no text overlay, neutral shop lighting. Action=checking; tool=work light; object/material=freshly painted wall; show tool-to-object contact; start state, motion, and finished state all visible.</x:v>
      </x:c>
      <x:c r="N480" s="14" t="n">
        <x:v>5</x:v>
      </x:c>
      <x:c r="O480" s="14" t="n">
        <x:v>100804</x:v>
      </x:c>
      <x:c r="P480" t="str">
        <x:v>R-E</x:v>
      </x:c>
      <x:c r="Q480" s="12" t="n">
        <x:v>4.31</x:v>
      </x:c>
      <x:c r="R480" s="12" t="n">
        <x:v>3.58</x:v>
      </x:c>
      <x:c r="S480" s="12" t="n">
        <x:v>3.27</x:v>
      </x:c>
      <x:c r="T480" s="12" t="n">
        <x:v>4.01</x:v>
      </x:c>
      <x:c r="U480" s="12" t="n">
        <x:v>3.84</x:v>
      </x:c>
      <x:c r="V480" s="12" t="n">
        <x:v>3.86</x:v>
      </x:c>
      <x:c r="W480" s="12" t="n">
        <x:f>ROUND((Q480*0.24)+(R480*0.22)+(S480*0.16)+(T480*0.18)+(U480*0.10)+(V480*0.10),2)</x:f>
        <x:v>3.84</x:v>
      </x:c>
      <x:c r="X480" t="str">
        <x:f>IF(W480&gt;=3.55,"Pass","Fail")</x:f>
        <x:v>Pass</x:v>
      </x:c>
      <x:c r="Y480" t="str">
        <x:v>motion slightly compressed</x:v>
      </x:c>
      <x:c r="Z480" t="str">
        <x:v>Rater note: The intention is clear, especially if you already know the step. A novice might miss the key detail because this issue appears right where the action should be most explicit: motion slightly compressed. The mistake appears late, so a simple thumbnail review would probably miss it. For this painting example, the main judgment is still whether the viewer can copy the motion.</x:v>
      </x:c>
      <x:c r="AA480" t="str">
        <x:v>Use sequential context only for continuity, not for adding previous/next steps into the frame.</x:v>
      </x:c>
      <x:c r="AB480" t="str">
        <x:v>Medium</x:v>
      </x:c>
      <x:c r="AC480" t="str"/>
      <x:c r="AD480" t="str">
        <x:v>Mock rater record for experiment design; audit against real video outputs before publication.</x:v>
      </x:c>
    </x:row>
    <x:row r="481">
      <x:c r="A481" t="str">
        <x:v>S080-Vidu-STR</x:v>
      </x:c>
      <x:c r="B481" t="str">
        <x:v>S080</x:v>
      </x:c>
      <x:c r="C481" t="str">
        <x:v>Painting</x:v>
      </x:c>
      <x:c r="D481" t="str">
        <x:v>finish</x:v>
      </x:c>
      <x:c r="E481" t="str">
        <x:v>checking</x:v>
      </x:c>
      <x:c r="F481" t="n">
        <x:v>2</x:v>
      </x:c>
      <x:c r="G481" t="str">
        <x:v>inspect a wall from the side for missed spots</x:v>
      </x:c>
      <x:c r="H481" t="str">
        <x:v>work light</x:v>
      </x:c>
      <x:c r="I481" t="str">
        <x:v>freshly painted wall</x:v>
      </x:c>
      <x:c r="J481" t="str">
        <x:v>Vidu 2.0</x:v>
      </x:c>
      <x:c r="K481" t="str">
        <x:v>Structured Action-Object-Tool</x:v>
      </x:c>
      <x:c r="L481" t="str">
        <x:v>Action, tool, object, grip, contact point, start/end states.</x:v>
      </x:c>
      <x:c r="M481" t="str">
        <x:v>Close-up realistic instructional DIY video: inspect a wall from the side for missed spots. Show work light working on freshly painted wall. Hands visible, stable camera, no text overlay, neutral shop lighting. Action=checking; tool=work light; object/material=freshly painted wall; show tool-to-object contact; start state, motion, and finished state all visible.</x:v>
      </x:c>
      <x:c r="N481" s="14" t="n">
        <x:v>5</x:v>
      </x:c>
      <x:c r="O481" s="14" t="n">
        <x:v>100805</x:v>
      </x:c>
      <x:c r="P481" t="str">
        <x:v>R-D</x:v>
      </x:c>
      <x:c r="Q481" s="12" t="n">
        <x:v>3.31</x:v>
      </x:c>
      <x:c r="R481" s="12" t="n">
        <x:v>3.59</x:v>
      </x:c>
      <x:c r="S481" s="12" t="n">
        <x:v>3.46</x:v>
      </x:c>
      <x:c r="T481" s="12" t="n">
        <x:v>4.12</x:v>
      </x:c>
      <x:c r="U481" s="12" t="n">
        <x:v>3.26</x:v>
      </x:c>
      <x:c r="V481" s="12" t="n">
        <x:v>3.88</x:v>
      </x:c>
      <x:c r="W481" s="12" t="n">
        <x:f>ROUND((Q481*0.24)+(R481*0.22)+(S481*0.16)+(T481*0.18)+(U481*0.10)+(V481*0.10),2)</x:f>
        <x:v>3.59</x:v>
      </x:c>
      <x:c r="X481" t="str">
        <x:f>IF(W481&gt;=3.55,"Pass","Fail")</x:f>
        <x:v>Pass</x:v>
      </x:c>
      <x:c r="Y481" t="str">
        <x:v>force/torque reads wrong</x:v>
      </x:c>
      <x:c r="Z481" t="str">
        <x:v>Human check: Looks plausible at first glance. On a second pass, the freshly painted wall shifts slightly and the model seems to infer the outcome rather than show the full checking. I would keep the same camera angle but ask for a tighter view of the contact point. For this painting example, the main judgment is still whether the viewer can copy the motion.</x:v>
      </x:c>
      <x:c r="AA481" t="str">
        <x:v>Break the action into start, contact, movement, and finish; ban extra tools and hand morphing.</x:v>
      </x:c>
      <x:c r="AB481" t="str">
        <x:v>Medium-High</x:v>
      </x:c>
      <x:c r="AC481" t="str"/>
      <x:c r="AD481" t="str">
        <x:v>Planning dataset only; scores are plausible placeholders, not vendor claims.</x:v>
      </x:c>
    </x:row>
    <x:row r="482">
      <x:c r="A482" t="str">
        <x:v>S081-Veo-MET</x:v>
      </x:c>
      <x:c r="B482" t="str">
        <x:v>S081</x:v>
      </x:c>
      <x:c r="C482" t="str">
        <x:v>Automotive</x:v>
      </x:c>
      <x:c r="D482" t="str">
        <x:v>maintenance</x:v>
      </x:c>
      <x:c r="E482" t="str">
        <x:v>checking</x:v>
      </x:c>
      <x:c r="F482" t="n">
        <x:v>2</x:v>
      </x:c>
      <x:c r="G482" t="str">
        <x:v>check engine oil level on a dipstick and wipe it clean</x:v>
      </x:c>
      <x:c r="H482" t="str">
        <x:v>shop rag</x:v>
      </x:c>
      <x:c r="I482" t="str">
        <x:v>engine dipstick</x:v>
      </x:c>
      <x:c r="J482" t="str">
        <x:v>Veo 3.1</x:v>
      </x:c>
      <x:c r="K482" t="str">
        <x:v>Metadata-Enriched</x:v>
      </x:c>
      <x:c r="L482" t="str">
        <x:v>Uses clipDescription, clipSummary, toolNames, suppliesNames, processTechniques, safetyEquipment.</x:v>
      </x:c>
      <x:c r="M482" t="str">
        <x:v>Close-up realistic instructional DIY video: check engine oil level on a dipstick and wipe it clean. Show shop rag working on engine dipstick. Hands visible, stable camera, no text overlay, neutral shop lighting. clipDescription='check engine oil level on a dipstick and wipe it clean'. clipSummary='one practical repair step'. toolNames='shop rag'. suppliesNames='engine dipstick'. processTechnique='checking'. Safety cue: use normal homeowner precautions and avoid risky shortcuts.</x:v>
      </x:c>
      <x:c r="N482" s="14" t="n">
        <x:v>8</x:v>
      </x:c>
      <x:c r="O482" s="14" t="n">
        <x:v>100810</x:v>
      </x:c>
      <x:c r="P482" t="str">
        <x:v>R-A</x:v>
      </x:c>
      <x:c r="Q482" s="12" t="n">
        <x:v>4.11</x:v>
      </x:c>
      <x:c r="R482" s="12" t="n">
        <x:v>4.18</x:v>
      </x:c>
      <x:c r="S482" s="12" t="n">
        <x:v>4.45</x:v>
      </x:c>
      <x:c r="T482" s="12" t="n">
        <x:v>4.18</x:v>
      </x:c>
      <x:c r="U482" s="12" t="n">
        <x:v>4.3</x:v>
      </x:c>
      <x:c r="V482" s="12" t="n">
        <x:v>4.41</x:v>
      </x:c>
      <x:c r="W482" s="12" t="n">
        <x:f>ROUND((Q482*0.24)+(R482*0.22)+(S482*0.16)+(T482*0.18)+(U482*0.10)+(V482*0.10),2)</x:f>
        <x:v>4.24</x:v>
      </x:c>
      <x:c r="X482" t="str">
        <x:f>IF(W482&gt;=3.55,"Pass","Fail")</x:f>
        <x:v>Pass</x:v>
      </x:c>
      <x:c r="Y482" t="str">
        <x:v>none</x:v>
      </x:c>
      <x:c r="Z482" t="str">
        <x:v>Human check: Best part is the pacing: it gives enough time to understand checking without turning into a beauty shot. Minor issue: slightly staged tool contact. I marked it down for the key moment rather than the opening setup. For this automotive example, the main judgment is still whether the viewer can copy the motion.</x:v>
      </x:c>
      <x:c r="AA482" t="str">
        <x:v>Move safety language earlier in the prompt and remove cinematic camera instructions.</x:v>
      </x:c>
      <x:c r="AB482" t="str">
        <x:v>Medium</x:v>
      </x:c>
      <x:c r="AC482" t="str"/>
      <x:c r="AD482" t="str">
        <x:v>Mock rater record for experiment design; audit against real video outputs before publication.</x:v>
      </x:c>
    </x:row>
    <x:row r="483">
      <x:c r="A483" t="str">
        <x:v>S081-Sora-MET</x:v>
      </x:c>
      <x:c r="B483" t="str">
        <x:v>S081</x:v>
      </x:c>
      <x:c r="C483" t="str">
        <x:v>Automotive</x:v>
      </x:c>
      <x:c r="D483" t="str">
        <x:v>maintenance</x:v>
      </x:c>
      <x:c r="E483" t="str">
        <x:v>checking</x:v>
      </x:c>
      <x:c r="F483" t="n">
        <x:v>2</x:v>
      </x:c>
      <x:c r="G483" t="str">
        <x:v>check engine oil level on a dipstick and wipe it clean</x:v>
      </x:c>
      <x:c r="H483" t="str">
        <x:v>shop rag</x:v>
      </x:c>
      <x:c r="I483" t="str">
        <x:v>engine dipstick</x:v>
      </x:c>
      <x:c r="J483" t="str">
        <x:v>Sora 2 Pro</x:v>
      </x:c>
      <x:c r="K483" t="str">
        <x:v>Metadata-Enriched</x:v>
      </x:c>
      <x:c r="L483" t="str">
        <x:v>Uses clipDescription, clipSummary, toolNames, suppliesNames, processTechniques, safetyEquipment.</x:v>
      </x:c>
      <x:c r="M483" t="str">
        <x:v>Close-up realistic instructional DIY video: check engine oil level on a dipstick and wipe it clean. Show shop rag working on engine dipstick. Hands visible, stable camera, no text overlay, neutral shop lighting. clipDescription='check engine oil level on a dipstick and wipe it clean'. clipSummary='one practical repair step'. toolNames='shop rag'. suppliesNames='engine dipstick'. processTechnique='checking'. Safety cue: use normal homeowner precautions and avoid risky shortcuts.</x:v>
      </x:c>
      <x:c r="N483" s="14" t="n">
        <x:v>8</x:v>
      </x:c>
      <x:c r="O483" s="14" t="n">
        <x:v>100811</x:v>
      </x:c>
      <x:c r="P483" t="str">
        <x:v>R-B</x:v>
      </x:c>
      <x:c r="Q483" s="12" t="n">
        <x:v>4.04</x:v>
      </x:c>
      <x:c r="R483" s="12" t="n">
        <x:v>3.92</x:v>
      </x:c>
      <x:c r="S483" s="12" t="n">
        <x:v>4.29</x:v>
      </x:c>
      <x:c r="T483" s="12" t="n">
        <x:v>4.33</x:v>
      </x:c>
      <x:c r="U483" s="12" t="n">
        <x:v>4.22</x:v>
      </x:c>
      <x:c r="V483" s="12" t="n">
        <x:v>4.01</x:v>
      </x:c>
      <x:c r="W483" s="12" t="n">
        <x:f>ROUND((Q483*0.24)+(R483*0.22)+(S483*0.16)+(T483*0.18)+(U483*0.10)+(V483*0.10),2)</x:f>
        <x:v>4.12</x:v>
      </x:c>
      <x:c r="X483" t="str">
        <x:f>IF(W483&gt;=3.55,"Pass","Fail")</x:f>
        <x:v>Pass</x:v>
      </x:c>
      <x:c r="Y483" t="str">
        <x:v>endpoint not visible</x:v>
      </x:c>
      <x:c r="Z483" t="str">
        <x:v>Clip review: Usable, but I would not show it without review. The shop rag is recognizable, yet the exact contact point is hard to see when the hand crosses the frame. I would keep the same camera angle but ask for a tighter view of the contact point. For this automotive example, the main judgment is still whether the viewer can copy the motion.</x:v>
      </x:c>
      <x:c r="AA483" t="str">
        <x:v>Ask for a static close-up and require the shop rag to touch the engine dipstick before any motion starts.</x:v>
      </x:c>
      <x:c r="AB483" t="str">
        <x:v>Medium-High</x:v>
      </x:c>
      <x:c r="AC483" t="str"/>
      <x:c r="AD483" t="str">
        <x:v>Synthetic benchmark entry; generated clip URL should be filled after API run.</x:v>
      </x:c>
    </x:row>
    <x:row r="484">
      <x:c r="A484" t="str">
        <x:v>S081-Runway-MET</x:v>
      </x:c>
      <x:c r="B484" t="str">
        <x:v>S081</x:v>
      </x:c>
      <x:c r="C484" t="str">
        <x:v>Automotive</x:v>
      </x:c>
      <x:c r="D484" t="str">
        <x:v>maintenance</x:v>
      </x:c>
      <x:c r="E484" t="str">
        <x:v>checking</x:v>
      </x:c>
      <x:c r="F484" t="n">
        <x:v>2</x:v>
      </x:c>
      <x:c r="G484" t="str">
        <x:v>check engine oil level on a dipstick and wipe it clean</x:v>
      </x:c>
      <x:c r="H484" t="str">
        <x:v>shop rag</x:v>
      </x:c>
      <x:c r="I484" t="str">
        <x:v>engine dipstick</x:v>
      </x:c>
      <x:c r="J484" t="str">
        <x:v>Runway Gen-4.5</x:v>
      </x:c>
      <x:c r="K484" t="str">
        <x:v>Metadata-Enriched</x:v>
      </x:c>
      <x:c r="L484" t="str">
        <x:v>Uses clipDescription, clipSummary, toolNames, suppliesNames, processTechniques, safetyEquipment.</x:v>
      </x:c>
      <x:c r="M484" t="str">
        <x:v>Close-up realistic instructional DIY video: check engine oil level on a dipstick and wipe it clean. Show shop rag working on engine dipstick. Hands visible, stable camera, no text overlay, neutral shop lighting. clipDescription='check engine oil level on a dipstick and wipe it clean'. clipSummary='one practical repair step'. toolNames='shop rag'. suppliesNames='engine dipstick'. processTechnique='checking'. Safety cue: use normal homeowner precautions and avoid risky shortcuts.</x:v>
      </x:c>
      <x:c r="N484" s="14" t="n">
        <x:v>5</x:v>
      </x:c>
      <x:c r="O484" s="14" t="n">
        <x:v>100812</x:v>
      </x:c>
      <x:c r="P484" t="str">
        <x:v>R-A</x:v>
      </x:c>
      <x:c r="Q484" s="12" t="n">
        <x:v>4.35</x:v>
      </x:c>
      <x:c r="R484" s="12" t="n">
        <x:v>3.9</x:v>
      </x:c>
      <x:c r="S484" s="12" t="n">
        <x:v>4</x:v>
      </x:c>
      <x:c r="T484" s="12" t="n">
        <x:v>4.44</x:v>
      </x:c>
      <x:c r="U484" s="12" t="n">
        <x:v>3.92</x:v>
      </x:c>
      <x:c r="V484" s="12" t="n">
        <x:v>4.18</x:v>
      </x:c>
      <x:c r="W484" s="12" t="n">
        <x:f>ROUND((Q484*0.24)+(R484*0.22)+(S484*0.16)+(T484*0.18)+(U484*0.10)+(V484*0.10),2)</x:f>
        <x:v>4.15</x:v>
      </x:c>
      <x:c r="X484" t="str">
        <x:f>IF(W484&gt;=3.55,"Pass","Fail")</x:f>
        <x:v>Pass</x:v>
      </x:c>
      <x:c r="Y484" t="str">
        <x:v>minor continuity jump</x:v>
      </x:c>
      <x:c r="Z484" t="str">
        <x:v>Rater note: This one would probably pass a quick review. The shop rag stays believable, the start and end states are easy to read, and the only nit is that hand occludes the exact contact point. This would be safer as a reference-aided run than a text-only run. For this automotive example, the main judgment is still whether the viewer can copy the motion.</x:v>
      </x:c>
      <x:c r="AA484" t="str">
        <x:v>Specify the exact contact point and do not allow the hand to cover it.</x:v>
      </x:c>
      <x:c r="AB484" t="str">
        <x:v>Medium-High</x:v>
      </x:c>
      <x:c r="AC484" t="str"/>
      <x:c r="AD484" t="str">
        <x:v>Planning dataset only; scores are plausible placeholders, not vendor claims.</x:v>
      </x:c>
    </x:row>
    <x:row r="485">
      <x:c r="A485" t="str">
        <x:v>S081-Kling-MET</x:v>
      </x:c>
      <x:c r="B485" t="str">
        <x:v>S081</x:v>
      </x:c>
      <x:c r="C485" t="str">
        <x:v>Automotive</x:v>
      </x:c>
      <x:c r="D485" t="str">
        <x:v>maintenance</x:v>
      </x:c>
      <x:c r="E485" t="str">
        <x:v>checking</x:v>
      </x:c>
      <x:c r="F485" t="n">
        <x:v>2</x:v>
      </x:c>
      <x:c r="G485" t="str">
        <x:v>check engine oil level on a dipstick and wipe it clean</x:v>
      </x:c>
      <x:c r="H485" t="str">
        <x:v>shop rag</x:v>
      </x:c>
      <x:c r="I485" t="str">
        <x:v>engine dipstick</x:v>
      </x:c>
      <x:c r="J485" t="str">
        <x:v>Kling v3.0 (Replicate)</x:v>
      </x:c>
      <x:c r="K485" t="str">
        <x:v>Metadata-Enriched</x:v>
      </x:c>
      <x:c r="L485" t="str">
        <x:v>Uses clipDescription, clipSummary, toolNames, suppliesNames, processTechniques, safetyEquipment.</x:v>
      </x:c>
      <x:c r="M485" t="str">
        <x:v>Close-up realistic instructional DIY video: check engine oil level on a dipstick and wipe it clean. Show shop rag working on engine dipstick. Hands visible, stable camera, no text overlay, neutral shop lighting. clipDescription='check engine oil level on a dipstick and wipe it clean'. clipSummary='one practical repair step'. toolNames='shop rag'. suppliesNames='engine dipstick'. processTechnique='checking'. Safety cue: use normal homeowner precautions and avoid risky shortcuts.</x:v>
      </x:c>
      <x:c r="N485" s="14" t="n">
        <x:v>10</x:v>
      </x:c>
      <x:c r="O485" s="14" t="n">
        <x:v>100813</x:v>
      </x:c>
      <x:c r="P485" t="str">
        <x:v>R-C</x:v>
      </x:c>
      <x:c r="Q485" s="12" t="n">
        <x:v>4.11</x:v>
      </x:c>
      <x:c r="R485" s="12" t="n">
        <x:v>4.07</x:v>
      </x:c>
      <x:c r="S485" s="12" t="n">
        <x:v>4.12</x:v>
      </x:c>
      <x:c r="T485" s="12" t="n">
        <x:v>4.2</x:v>
      </x:c>
      <x:c r="U485" s="12" t="n">
        <x:v>4.02</x:v>
      </x:c>
      <x:c r="V485" s="12" t="n">
        <x:v>3.62</x:v>
      </x:c>
      <x:c r="W485" s="12" t="n">
        <x:f>ROUND((Q485*0.24)+(R485*0.22)+(S485*0.16)+(T485*0.18)+(U485*0.10)+(V485*0.10),2)</x:f>
        <x:v>4.06</x:v>
      </x:c>
      <x:c r="X485" t="str">
        <x:f>IF(W485&gt;=3.55,"Pass","Fail")</x:f>
        <x:v>Pass</x:v>
      </x:c>
      <x:c r="Y485" t="str">
        <x:v>endpoint not visible</x:v>
      </x:c>
      <x:c r="Z485" t="str">
        <x:v>Clip review: I would keep this as a rough candidate. It communicates the step, although the failure mode makes it weaker than a real sourced clip: endpoint not visible. This reads better as a teaser than as an instructional clip. For this automotive example, the main judgment is still whether the viewer can copy the motion.</x:v>
      </x:c>
      <x:c r="AA485" t="str">
        <x:v>Use sequential context only for continuity, not for adding previous/next steps into the frame.</x:v>
      </x:c>
      <x:c r="AB485" t="str">
        <x:v>High</x:v>
      </x:c>
      <x:c r="AC485" t="str"/>
      <x:c r="AD485" t="str">
        <x:v>Synthetic benchmark entry; generated clip URL should be filled after API run.</x:v>
      </x:c>
    </x:row>
    <x:row r="486">
      <x:c r="A486" t="str">
        <x:v>S081-Pika-MET</x:v>
      </x:c>
      <x:c r="B486" t="str">
        <x:v>S081</x:v>
      </x:c>
      <x:c r="C486" t="str">
        <x:v>Automotive</x:v>
      </x:c>
      <x:c r="D486" t="str">
        <x:v>maintenance</x:v>
      </x:c>
      <x:c r="E486" t="str">
        <x:v>checking</x:v>
      </x:c>
      <x:c r="F486" t="n">
        <x:v>2</x:v>
      </x:c>
      <x:c r="G486" t="str">
        <x:v>check engine oil level on a dipstick and wipe it clean</x:v>
      </x:c>
      <x:c r="H486" t="str">
        <x:v>shop rag</x:v>
      </x:c>
      <x:c r="I486" t="str">
        <x:v>engine dipstick</x:v>
      </x:c>
      <x:c r="J486" t="str">
        <x:v>Pika 2.2</x:v>
      </x:c>
      <x:c r="K486" t="str">
        <x:v>Metadata-Enriched</x:v>
      </x:c>
      <x:c r="L486" t="str">
        <x:v>Uses clipDescription, clipSummary, toolNames, suppliesNames, processTechniques, safetyEquipment.</x:v>
      </x:c>
      <x:c r="M486" t="str">
        <x:v>Close-up realistic instructional DIY video: check engine oil level on a dipstick and wipe it clean. Show shop rag working on engine dipstick. Hands visible, stable camera, no text overlay, neutral shop lighting. clipDescription='check engine oil level on a dipstick and wipe it clean'. clipSummary='one practical repair step'. toolNames='shop rag'. suppliesNames='engine dipstick'. processTechnique='checking'. Safety cue: use normal homeowner precautions and avoid risky shortcuts.</x:v>
      </x:c>
      <x:c r="N486" s="14" t="n">
        <x:v>5</x:v>
      </x:c>
      <x:c r="O486" s="14" t="n">
        <x:v>100814</x:v>
      </x:c>
      <x:c r="P486" t="str">
        <x:v>R-B</x:v>
      </x:c>
      <x:c r="Q486" s="12" t="n">
        <x:v>3.29</x:v>
      </x:c>
      <x:c r="R486" s="12" t="n">
        <x:v>3.21</x:v>
      </x:c>
      <x:c r="S486" s="12" t="n">
        <x:v>3.32</x:v>
      </x:c>
      <x:c r="T486" s="12" t="n">
        <x:v>3.98</x:v>
      </x:c>
      <x:c r="U486" s="12" t="n">
        <x:v>4.53</x:v>
      </x:c>
      <x:c r="V486" s="12" t="n">
        <x:v>3.87</x:v>
      </x:c>
      <x:c r="W486" s="12" t="n">
        <x:f>ROUND((Q486*0.24)+(R486*0.22)+(S486*0.16)+(T486*0.18)+(U486*0.10)+(V486*0.10),2)</x:f>
        <x:v>3.58</x:v>
      </x:c>
      <x:c r="X486" t="str">
        <x:f>IF(W486&gt;=3.55,"Pass","Fail")</x:f>
        <x:v>Pass</x:v>
      </x:c>
      <x:c r="Y486" t="str">
        <x:v>object morphs</x:v>
      </x:c>
      <x:c r="Z486" t="str">
        <x:v>Review note: Usable, but I would not show it without review. The shop rag is recognizable, yet the exact contact point is hard to see when the hand crosses the frame. The most important fix is to show the before-and-after state without a cut. For this automotive example, the main judgment is still whether the viewer can copy the motion.</x:v>
      </x:c>
      <x:c r="AA486" t="str">
        <x:v>Break the action into start, contact, movement, and finish; ban extra tools and hand morphing.</x:v>
      </x:c>
      <x:c r="AB486" t="str">
        <x:v>High</x:v>
      </x:c>
      <x:c r="AC486" t="str"/>
      <x:c r="AD486" t="str">
        <x:v>Mock rater record for experiment design; audit against real video outputs before publication.</x:v>
      </x:c>
    </x:row>
    <x:row r="487">
      <x:c r="A487" t="str">
        <x:v>S081-Vidu-MET</x:v>
      </x:c>
      <x:c r="B487" t="str">
        <x:v>S081</x:v>
      </x:c>
      <x:c r="C487" t="str">
        <x:v>Automotive</x:v>
      </x:c>
      <x:c r="D487" t="str">
        <x:v>maintenance</x:v>
      </x:c>
      <x:c r="E487" t="str">
        <x:v>checking</x:v>
      </x:c>
      <x:c r="F487" t="n">
        <x:v>2</x:v>
      </x:c>
      <x:c r="G487" t="str">
        <x:v>check engine oil level on a dipstick and wipe it clean</x:v>
      </x:c>
      <x:c r="H487" t="str">
        <x:v>shop rag</x:v>
      </x:c>
      <x:c r="I487" t="str">
        <x:v>engine dipstick</x:v>
      </x:c>
      <x:c r="J487" t="str">
        <x:v>Vidu 2.0</x:v>
      </x:c>
      <x:c r="K487" t="str">
        <x:v>Metadata-Enriched</x:v>
      </x:c>
      <x:c r="L487" t="str">
        <x:v>Uses clipDescription, clipSummary, toolNames, suppliesNames, processTechniques, safetyEquipment.</x:v>
      </x:c>
      <x:c r="M487" t="str">
        <x:v>Close-up realistic instructional DIY video: check engine oil level on a dipstick and wipe it clean. Show shop rag working on engine dipstick. Hands visible, stable camera, no text overlay, neutral shop lighting. clipDescription='check engine oil level on a dipstick and wipe it clean'. clipSummary='one practical repair step'. toolNames='shop rag'. suppliesNames='engine dipstick'. processTechnique='checking'. Safety cue: use normal homeowner precautions and avoid risky shortcuts.</x:v>
      </x:c>
      <x:c r="N487" s="14" t="n">
        <x:v>5</x:v>
      </x:c>
      <x:c r="O487" s="14" t="n">
        <x:v>100815</x:v>
      </x:c>
      <x:c r="P487" t="str">
        <x:v>R-D</x:v>
      </x:c>
      <x:c r="Q487" s="12" t="n">
        <x:v>3.78</x:v>
      </x:c>
      <x:c r="R487" s="12" t="n">
        <x:v>2.95</x:v>
      </x:c>
      <x:c r="S487" s="12" t="n">
        <x:v>3.74</x:v>
      </x:c>
      <x:c r="T487" s="12" t="n">
        <x:v>3.53</x:v>
      </x:c>
      <x:c r="U487" s="12" t="n">
        <x:v>3.33</x:v>
      </x:c>
      <x:c r="V487" s="12" t="n">
        <x:v>3.41</x:v>
      </x:c>
      <x:c r="W487" s="12" t="n">
        <x:f>ROUND((Q487*0.24)+(R487*0.22)+(S487*0.16)+(T487*0.18)+(U487*0.10)+(V487*0.10),2)</x:f>
        <x:v>3.46</x:v>
      </x:c>
      <x:c r="X487" t="str">
        <x:f>IF(W487&gt;=3.55,"Pass","Fail")</x:f>
        <x:v>Fail</x:v>
      </x:c>
      <x:c r="Y487" t="str">
        <x:v>tool floats near object</x:v>
      </x:c>
      <x:c r="Z487" t="str">
        <x:v>Review note: A reviewer would likely reject this. It may be visually attractive, but the tool/object relationship breaks during the important moment. The clip needs a verifier pass before it can enter the training pool. For this automotive example, the main judgment is still whether the viewer can copy the motion.</x:v>
      </x:c>
      <x:c r="AA487" t="str">
        <x:v>Move safety language earlier in the prompt and remove cinematic camera instructions.</x:v>
      </x:c>
      <x:c r="AB487" t="str">
        <x:v>Medium-High</x:v>
      </x:c>
      <x:c r="AC487" t="str"/>
      <x:c r="AD487" t="str">
        <x:v>Planning dataset only; scores are plausible placeholders, not vendor claims.</x:v>
      </x:c>
    </x:row>
    <x:row r="488">
      <x:c r="A488" t="str">
        <x:v>S082-Veo-REF</x:v>
      </x:c>
      <x:c r="B488" t="str">
        <x:v>S082</x:v>
      </x:c>
      <x:c r="C488" t="str">
        <x:v>Automotive</x:v>
      </x:c>
      <x:c r="D488" t="str">
        <x:v>tire service</x:v>
      </x:c>
      <x:c r="E488" t="str">
        <x:v>measuring</x:v>
      </x:c>
      <x:c r="F488" t="n">
        <x:v>2</x:v>
      </x:c>
      <x:c r="G488" t="str">
        <x:v>measure tire pressure with a pencil gauge</x:v>
      </x:c>
      <x:c r="H488" t="str">
        <x:v>tire pressure gauge</x:v>
      </x:c>
      <x:c r="I488" t="str">
        <x:v>tire valve stem</x:v>
      </x:c>
      <x:c r="J488" t="str">
        <x:v>Veo 3.1</x:v>
      </x:c>
      <x:c r="K488" t="str">
        <x:v>Reference-Guided</x:v>
      </x:c>
      <x:c r="L488" t="str">
        <x:v>Adds reference-tool/image cue and brand-agnostic visual constraints.</x:v>
      </x:c>
      <x:c r="M488" t="str">
        <x:v>Close-up realistic instructional DIY video: measure tire pressure with a pencil gauge. Show tire pressure gauge working on tire valve stem. Hands visible, stable camera, no text overlay, neutral shop lighting. Use a generic, brand-agnostic visual reference for the tire pressure gauge; preserve the tool shape and scale; the tire pressure gauge must remain in contact with tire valve stem during the key motion.</x:v>
      </x:c>
      <x:c r="N488" s="14" t="n">
        <x:v>8</x:v>
      </x:c>
      <x:c r="O488" s="14" t="n">
        <x:v>100820</x:v>
      </x:c>
      <x:c r="P488" t="str">
        <x:v>R-D</x:v>
      </x:c>
      <x:c r="Q488" s="12" t="n">
        <x:v>4.73</x:v>
      </x:c>
      <x:c r="R488" s="12" t="n">
        <x:v>4.72</x:v>
      </x:c>
      <x:c r="S488" s="12" t="n">
        <x:v>4.82</x:v>
      </x:c>
      <x:c r="T488" s="12" t="n">
        <x:v>4.17</x:v>
      </x:c>
      <x:c r="U488" s="12" t="n">
        <x:v>4.14</x:v>
      </x:c>
      <x:c r="V488" s="12" t="n">
        <x:v>4.17</x:v>
      </x:c>
      <x:c r="W488" s="12" t="n">
        <x:f>ROUND((Q488*0.24)+(R488*0.22)+(S488*0.16)+(T488*0.18)+(U488*0.10)+(V488*0.10),2)</x:f>
        <x:v>4.53</x:v>
      </x:c>
      <x:c r="X488" t="str">
        <x:f>IF(W488&gt;=3.55,"Pass","Fail")</x:f>
        <x:v>Pass</x:v>
      </x:c>
      <x:c r="Y488" t="str">
        <x:v>small hand occlusion</x:v>
      </x:c>
      <x:c r="Z488" t="str">
        <x:v>Clip review: Clear enough for a learner. The workpiece does not wander and the camera stays on the tire valve stem; I would still add a freeze or caption after generation. The clip needs a verifier pass before it can enter the training pool. For this automotive example, the main judgment is still whether the viewer can copy the motion.</x:v>
      </x:c>
      <x:c r="AA488" t="str">
        <x:v>Ask for a static close-up and require the tire pressure gauge to touch the tire valve stem before any motion starts.</x:v>
      </x:c>
      <x:c r="AB488" t="str">
        <x:v>High</x:v>
      </x:c>
      <x:c r="AC488" t="str"/>
      <x:c r="AD488" t="str">
        <x:v>Synthetic benchmark entry; generated clip URL should be filled after API run.</x:v>
      </x:c>
    </x:row>
    <x:row r="489">
      <x:c r="A489" t="str">
        <x:v>S082-Sora-REF</x:v>
      </x:c>
      <x:c r="B489" t="str">
        <x:v>S082</x:v>
      </x:c>
      <x:c r="C489" t="str">
        <x:v>Automotive</x:v>
      </x:c>
      <x:c r="D489" t="str">
        <x:v>tire service</x:v>
      </x:c>
      <x:c r="E489" t="str">
        <x:v>measuring</x:v>
      </x:c>
      <x:c r="F489" t="n">
        <x:v>2</x:v>
      </x:c>
      <x:c r="G489" t="str">
        <x:v>measure tire pressure with a pencil gauge</x:v>
      </x:c>
      <x:c r="H489" t="str">
        <x:v>tire pressure gauge</x:v>
      </x:c>
      <x:c r="I489" t="str">
        <x:v>tire valve stem</x:v>
      </x:c>
      <x:c r="J489" t="str">
        <x:v>Sora 2 Pro</x:v>
      </x:c>
      <x:c r="K489" t="str">
        <x:v>Reference-Guided</x:v>
      </x:c>
      <x:c r="L489" t="str">
        <x:v>Adds reference-tool/image cue and brand-agnostic visual constraints.</x:v>
      </x:c>
      <x:c r="M489" t="str">
        <x:v>Close-up realistic instructional DIY video: measure tire pressure with a pencil gauge. Show tire pressure gauge working on tire valve stem. Hands visible, stable camera, no text overlay, neutral shop lighting. Use a generic, brand-agnostic visual reference for the tire pressure gauge; preserve the tool shape and scale; the tire pressure gauge must remain in contact with tire valve stem during the key motion.</x:v>
      </x:c>
      <x:c r="N489" s="14" t="n">
        <x:v>8</x:v>
      </x:c>
      <x:c r="O489" s="14" t="n">
        <x:v>100821</x:v>
      </x:c>
      <x:c r="P489" t="str">
        <x:v>R-E</x:v>
      </x:c>
      <x:c r="Q489" s="12" t="n">
        <x:v>4.19</x:v>
      </x:c>
      <x:c r="R489" s="12" t="n">
        <x:v>4.47</x:v>
      </x:c>
      <x:c r="S489" s="12" t="n">
        <x:v>4.73</x:v>
      </x:c>
      <x:c r="T489" s="12" t="n">
        <x:v>4.37</x:v>
      </x:c>
      <x:c r="U489" s="12" t="n">
        <x:v>3.95</x:v>
      </x:c>
      <x:c r="V489" s="12" t="n">
        <x:v>4.6</x:v>
      </x:c>
      <x:c r="W489" s="12" t="n">
        <x:f>ROUND((Q489*0.24)+(R489*0.22)+(S489*0.16)+(T489*0.18)+(U489*0.10)+(V489*0.10),2)</x:f>
        <x:v>4.39</x:v>
      </x:c>
      <x:c r="X489" t="str">
        <x:f>IF(W489&gt;=3.55,"Pass","Fail")</x:f>
        <x:v>Pass</x:v>
      </x:c>
      <x:c r="Y489" t="str">
        <x:v>none</x:v>
      </x:c>
      <x:c r="Z489" t="str">
        <x:v>Human check: Clear enough for a learner. The workpiece does not wander and the camera stays on the tire valve stem; I would still add a freeze or caption after generation. The issue is subtle visually, but it matters because the clip is supposed to teach the technique. For this automotive example, the main judgment is still whether the viewer can copy the motion.</x:v>
      </x:c>
      <x:c r="AA489" t="str">
        <x:v>No immediate re-run; keep as candidate and verify with a second rater.</x:v>
      </x:c>
      <x:c r="AB489" t="str">
        <x:v>Medium-High</x:v>
      </x:c>
      <x:c r="AC489" t="str"/>
      <x:c r="AD489" t="str">
        <x:v>Synthetic benchmark entry; generated clip URL should be filled after API run.</x:v>
      </x:c>
    </x:row>
    <x:row r="490">
      <x:c r="A490" t="str">
        <x:v>S082-Runway-REF</x:v>
      </x:c>
      <x:c r="B490" t="str">
        <x:v>S082</x:v>
      </x:c>
      <x:c r="C490" t="str">
        <x:v>Automotive</x:v>
      </x:c>
      <x:c r="D490" t="str">
        <x:v>tire service</x:v>
      </x:c>
      <x:c r="E490" t="str">
        <x:v>measuring</x:v>
      </x:c>
      <x:c r="F490" t="n">
        <x:v>2</x:v>
      </x:c>
      <x:c r="G490" t="str">
        <x:v>measure tire pressure with a pencil gauge</x:v>
      </x:c>
      <x:c r="H490" t="str">
        <x:v>tire pressure gauge</x:v>
      </x:c>
      <x:c r="I490" t="str">
        <x:v>tire valve stem</x:v>
      </x:c>
      <x:c r="J490" t="str">
        <x:v>Runway Gen-4.5</x:v>
      </x:c>
      <x:c r="K490" t="str">
        <x:v>Reference-Guided</x:v>
      </x:c>
      <x:c r="L490" t="str">
        <x:v>Adds reference-tool/image cue and brand-agnostic visual constraints.</x:v>
      </x:c>
      <x:c r="M490" t="str">
        <x:v>Close-up realistic instructional DIY video: measure tire pressure with a pencil gauge. Show tire pressure gauge working on tire valve stem. Hands visible, stable camera, no text overlay, neutral shop lighting. Use a generic, brand-agnostic visual reference for the tire pressure gauge; preserve the tool shape and scale; the tire pressure gauge must remain in contact with tire valve stem during the key motion.</x:v>
      </x:c>
      <x:c r="N490" s="14" t="n">
        <x:v>5</x:v>
      </x:c>
      <x:c r="O490" s="14" t="n">
        <x:v>100822</x:v>
      </x:c>
      <x:c r="P490" t="str">
        <x:v>R-A</x:v>
      </x:c>
      <x:c r="Q490" s="12" t="n">
        <x:v>4.36</x:v>
      </x:c>
      <x:c r="R490" s="12" t="n">
        <x:v>3.97</x:v>
      </x:c>
      <x:c r="S490" s="12" t="n">
        <x:v>4.7</x:v>
      </x:c>
      <x:c r="T490" s="12" t="n">
        <x:v>4.25</x:v>
      </x:c>
      <x:c r="U490" s="12" t="n">
        <x:v>3.53</x:v>
      </x:c>
      <x:c r="V490" s="12" t="n">
        <x:v>3.53</x:v>
      </x:c>
      <x:c r="W490" s="12" t="n">
        <x:f>ROUND((Q490*0.24)+(R490*0.22)+(S490*0.16)+(T490*0.18)+(U490*0.10)+(V490*0.10),2)</x:f>
        <x:v>4.14</x:v>
      </x:c>
      <x:c r="X490" t="str">
        <x:f>IF(W490&gt;=3.55,"Pass","Fail")</x:f>
        <x:v>Pass</x:v>
      </x:c>
      <x:c r="Y490" t="str">
        <x:v>endpoint not visible</x:v>
      </x:c>
      <x:c r="Z490" t="str">
        <x:v>Human check: Usable, but I would not show it without review. The tire pressure gauge is recognizable, yet the exact contact point is hard to see when the hand crosses the frame. This would be safer as a reference-aided run than a text-only run. For this automotive example, the main judgment is still whether the viewer can copy the motion.</x:v>
      </x:c>
      <x:c r="AA490" t="str">
        <x:v>Break the action into start, contact, movement, and finish; ban extra tools and hand morphing.</x:v>
      </x:c>
      <x:c r="AB490" t="str">
        <x:v>High</x:v>
      </x:c>
      <x:c r="AC490" t="str"/>
      <x:c r="AD490" t="str">
        <x:v>Planning dataset only; scores are plausible placeholders, not vendor claims.</x:v>
      </x:c>
    </x:row>
    <x:row r="491">
      <x:c r="A491" t="str">
        <x:v>S082-Kling-REF</x:v>
      </x:c>
      <x:c r="B491" t="str">
        <x:v>S082</x:v>
      </x:c>
      <x:c r="C491" t="str">
        <x:v>Automotive</x:v>
      </x:c>
      <x:c r="D491" t="str">
        <x:v>tire service</x:v>
      </x:c>
      <x:c r="E491" t="str">
        <x:v>measuring</x:v>
      </x:c>
      <x:c r="F491" t="n">
        <x:v>2</x:v>
      </x:c>
      <x:c r="G491" t="str">
        <x:v>measure tire pressure with a pencil gauge</x:v>
      </x:c>
      <x:c r="H491" t="str">
        <x:v>tire pressure gauge</x:v>
      </x:c>
      <x:c r="I491" t="str">
        <x:v>tire valve stem</x:v>
      </x:c>
      <x:c r="J491" t="str">
        <x:v>Kling v3.0 (Replicate)</x:v>
      </x:c>
      <x:c r="K491" t="str">
        <x:v>Reference-Guided</x:v>
      </x:c>
      <x:c r="L491" t="str">
        <x:v>Adds reference-tool/image cue and brand-agnostic visual constraints.</x:v>
      </x:c>
      <x:c r="M491" t="str">
        <x:v>Close-up realistic instructional DIY video: measure tire pressure with a pencil gauge. Show tire pressure gauge working on tire valve stem. Hands visible, stable camera, no text overlay, neutral shop lighting. Use a generic, brand-agnostic visual reference for the tire pressure gauge; preserve the tool shape and scale; the tire pressure gauge must remain in contact with tire valve stem during the key motion.</x:v>
      </x:c>
      <x:c r="N491" s="14" t="n">
        <x:v>10</x:v>
      </x:c>
      <x:c r="O491" s="14" t="n">
        <x:v>100823</x:v>
      </x:c>
      <x:c r="P491" t="str">
        <x:v>R-B</x:v>
      </x:c>
      <x:c r="Q491" s="12" t="n">
        <x:v>3.36</x:v>
      </x:c>
      <x:c r="R491" s="12" t="n">
        <x:v>3.83</x:v>
      </x:c>
      <x:c r="S491" s="12" t="n">
        <x:v>3.39</x:v>
      </x:c>
      <x:c r="T491" s="12" t="n">
        <x:v>4.22</x:v>
      </x:c>
      <x:c r="U491" s="12" t="n">
        <x:v>3.51</x:v>
      </x:c>
      <x:c r="V491" s="12" t="n">
        <x:v>4.47</x:v>
      </x:c>
      <x:c r="W491" s="12" t="n">
        <x:f>ROUND((Q491*0.24)+(R491*0.22)+(S491*0.16)+(T491*0.18)+(U491*0.10)+(V491*0.10),2)</x:f>
        <x:v>3.75</x:v>
      </x:c>
      <x:c r="X491" t="str">
        <x:f>IF(W491&gt;=3.55,"Pass","Fail")</x:f>
        <x:v>Pass</x:v>
      </x:c>
      <x:c r="Y491" t="str">
        <x:v>motion slightly compressed</x:v>
      </x:c>
      <x:c r="Z491" t="str">
        <x:v>QA note: The clip has the right ingredients but not quite the right mechanics. It needs a tighter prompt about grip, contact, and the end position. The mistake appears late, so a simple thumbnail review would probably miss it. For this automotive example, the main judgment is still whether the viewer can copy the motion.</x:v>
      </x:c>
      <x:c r="AA491" t="str">
        <x:v>Add a one-sentence end-state requirement: viewer must see the completed measuring result for one full second.</x:v>
      </x:c>
      <x:c r="AB491" t="str">
        <x:v>Medium-High</x:v>
      </x:c>
      <x:c r="AC491" t="str"/>
      <x:c r="AD491" t="str">
        <x:v>Planning dataset only; scores are plausible placeholders, not vendor claims.</x:v>
      </x:c>
    </x:row>
    <x:row r="492">
      <x:c r="A492" t="str">
        <x:v>S082-Pika-REF</x:v>
      </x:c>
      <x:c r="B492" t="str">
        <x:v>S082</x:v>
      </x:c>
      <x:c r="C492" t="str">
        <x:v>Automotive</x:v>
      </x:c>
      <x:c r="D492" t="str">
        <x:v>tire service</x:v>
      </x:c>
      <x:c r="E492" t="str">
        <x:v>measuring</x:v>
      </x:c>
      <x:c r="F492" t="n">
        <x:v>2</x:v>
      </x:c>
      <x:c r="G492" t="str">
        <x:v>measure tire pressure with a pencil gauge</x:v>
      </x:c>
      <x:c r="H492" t="str">
        <x:v>tire pressure gauge</x:v>
      </x:c>
      <x:c r="I492" t="str">
        <x:v>tire valve stem</x:v>
      </x:c>
      <x:c r="J492" t="str">
        <x:v>Pika 2.2</x:v>
      </x:c>
      <x:c r="K492" t="str">
        <x:v>Reference-Guided</x:v>
      </x:c>
      <x:c r="L492" t="str">
        <x:v>Adds reference-tool/image cue and brand-agnostic visual constraints.</x:v>
      </x:c>
      <x:c r="M492" t="str">
        <x:v>Close-up realistic instructional DIY video: measure tire pressure with a pencil gauge. Show tire pressure gauge working on tire valve stem. Hands visible, stable camera, no text overlay, neutral shop lighting. Use a generic, brand-agnostic visual reference for the tire pressure gauge; preserve the tool shape and scale; the tire pressure gauge must remain in contact with tire valve stem during the key motion.</x:v>
      </x:c>
      <x:c r="N492" s="14" t="n">
        <x:v>5</x:v>
      </x:c>
      <x:c r="O492" s="14" t="n">
        <x:v>100824</x:v>
      </x:c>
      <x:c r="P492" t="str">
        <x:v>R-A</x:v>
      </x:c>
      <x:c r="Q492" s="12" t="n">
        <x:v>3.63</x:v>
      </x:c>
      <x:c r="R492" s="12" t="n">
        <x:v>3.19</x:v>
      </x:c>
      <x:c r="S492" s="12" t="n">
        <x:v>3.52</x:v>
      </x:c>
      <x:c r="T492" s="12" t="n">
        <x:v>3.32</x:v>
      </x:c>
      <x:c r="U492" s="12" t="n">
        <x:v>3.54</x:v>
      </x:c>
      <x:c r="V492" s="12" t="n">
        <x:v>3.23</x:v>
      </x:c>
      <x:c r="W492" s="12" t="n">
        <x:f>ROUND((Q492*0.24)+(R492*0.22)+(S492*0.16)+(T492*0.18)+(U492*0.10)+(V492*0.10),2)</x:f>
        <x:v>3.41</x:v>
      </x:c>
      <x:c r="X492" t="str">
        <x:f>IF(W492&gt;=3.55,"Pass","Fail")</x:f>
        <x:v>Fail</x:v>
      </x:c>
      <x:c r="Y492" t="str">
        <x:v>camera blocks work</x:v>
      </x:c>
      <x:c r="Z492" t="str">
        <x:v>Clip review: The clip looks like generic DIY stock footage rather than this specific step. The main problem is camera blocks work, and the end state is not verifiable. I would keep the same camera angle but ask for a tighter view of the contact point. For this automotive example, the main judgment is still whether the viewer can copy the motion.</x:v>
      </x:c>
      <x:c r="AA492" t="str">
        <x:v>Specify the exact contact point and do not allow the hand to cover it.</x:v>
      </x:c>
      <x:c r="AB492" t="str">
        <x:v>Medium-High</x:v>
      </x:c>
      <x:c r="AC492" t="str"/>
      <x:c r="AD492" t="str">
        <x:v>Mock rater record for experiment design; audit against real video outputs before publication.</x:v>
      </x:c>
    </x:row>
    <x:row r="493">
      <x:c r="A493" t="str">
        <x:v>S082-Vidu-REF</x:v>
      </x:c>
      <x:c r="B493" t="str">
        <x:v>S082</x:v>
      </x:c>
      <x:c r="C493" t="str">
        <x:v>Automotive</x:v>
      </x:c>
      <x:c r="D493" t="str">
        <x:v>tire service</x:v>
      </x:c>
      <x:c r="E493" t="str">
        <x:v>measuring</x:v>
      </x:c>
      <x:c r="F493" t="n">
        <x:v>2</x:v>
      </x:c>
      <x:c r="G493" t="str">
        <x:v>measure tire pressure with a pencil gauge</x:v>
      </x:c>
      <x:c r="H493" t="str">
        <x:v>tire pressure gauge</x:v>
      </x:c>
      <x:c r="I493" t="str">
        <x:v>tire valve stem</x:v>
      </x:c>
      <x:c r="J493" t="str">
        <x:v>Vidu 2.0</x:v>
      </x:c>
      <x:c r="K493" t="str">
        <x:v>Reference-Guided</x:v>
      </x:c>
      <x:c r="L493" t="str">
        <x:v>Adds reference-tool/image cue and brand-agnostic visual constraints.</x:v>
      </x:c>
      <x:c r="M493" t="str">
        <x:v>Close-up realistic instructional DIY video: measure tire pressure with a pencil gauge. Show tire pressure gauge working on tire valve stem. Hands visible, stable camera, no text overlay, neutral shop lighting. Use a generic, brand-agnostic visual reference for the tire pressure gauge; preserve the tool shape and scale; the tire pressure gauge must remain in contact with tire valve stem during the key motion.</x:v>
      </x:c>
      <x:c r="N493" s="14" t="n">
        <x:v>5</x:v>
      </x:c>
      <x:c r="O493" s="14" t="n">
        <x:v>100825</x:v>
      </x:c>
      <x:c r="P493" t="str">
        <x:v>R-E</x:v>
      </x:c>
      <x:c r="Q493" s="12" t="n">
        <x:v>3.29</x:v>
      </x:c>
      <x:c r="R493" s="12" t="n">
        <x:v>3.27</x:v>
      </x:c>
      <x:c r="S493" s="12" t="n">
        <x:v>3.69</x:v>
      </x:c>
      <x:c r="T493" s="12" t="n">
        <x:v>4.04</x:v>
      </x:c>
      <x:c r="U493" s="12" t="n">
        <x:v>3.35</x:v>
      </x:c>
      <x:c r="V493" s="12" t="n">
        <x:v>3.32</x:v>
      </x:c>
      <x:c r="W493" s="12" t="n">
        <x:f>ROUND((Q493*0.24)+(R493*0.22)+(S493*0.16)+(T493*0.18)+(U493*0.10)+(V493*0.10),2)</x:f>
        <x:v>3.49</x:v>
      </x:c>
      <x:c r="X493" t="str">
        <x:f>IF(W493&gt;=3.55,"Pass","Fail")</x:f>
        <x:v>Fail</x:v>
      </x:c>
      <x:c r="Y493" t="str">
        <x:v>action starts too late</x:v>
      </x:c>
      <x:c r="Z493" t="str">
        <x:v>Human check: This should fail the instructional bar. The model gestures toward the task, but the failure mode prevents a learner from trusting the technique: action starts too late. I marked it down for the key moment rather than the opening setup. For this automotive example, the main judgment is still whether the viewer can copy the motion.</x:v>
      </x:c>
      <x:c r="AA493" t="str">
        <x:v>Add a one-sentence end-state requirement: viewer must see the completed measuring result for one full second.</x:v>
      </x:c>
      <x:c r="AB493" t="str">
        <x:v>Medium</x:v>
      </x:c>
      <x:c r="AC493" t="str"/>
      <x:c r="AD493" t="str">
        <x:v>Synthetic benchmark entry; generated clip URL should be filled after API run.</x:v>
      </x:c>
    </x:row>
    <x:row r="494">
      <x:c r="A494" t="str">
        <x:v>S083-Veo-SEQ</x:v>
      </x:c>
      <x:c r="B494" t="str">
        <x:v>S083</x:v>
      </x:c>
      <x:c r="C494" t="str">
        <x:v>Automotive</x:v>
      </x:c>
      <x:c r="D494" t="str">
        <x:v>tire service</x:v>
      </x:c>
      <x:c r="E494" t="str">
        <x:v>inflating</x:v>
      </x:c>
      <x:c r="F494" t="n">
        <x:v>3</x:v>
      </x:c>
      <x:c r="G494" t="str">
        <x:v>add air to a tire while watching the gauge</x:v>
      </x:c>
      <x:c r="H494" t="str">
        <x:v>air hose</x:v>
      </x:c>
      <x:c r="I494" t="str">
        <x:v>tire valve stem</x:v>
      </x:c>
      <x:c r="J494" t="str">
        <x:v>Veo 3.1</x:v>
      </x:c>
      <x:c r="K494" t="str">
        <x:v>Sequential Context</x:v>
      </x:c>
      <x:c r="L494" t="str">
        <x:v>Provides previous and next step for continuity without asking for them to appear.</x:v>
      </x:c>
      <x:c r="M494" t="str">
        <x:v>Close-up realistic instructional DIY video: add air to a tire while watching the gauge. Show air hose working on tire valve stem. Hands visible, stable camera, no text overlay, neutral shop lighting. This is the middle clip in a sequence. Previous step has already prepared the work area; next step will verify the result. Keep the same workpiece, camera distance, and hand orientation.</x:v>
      </x:c>
      <x:c r="N494" s="14" t="n">
        <x:v>8</x:v>
      </x:c>
      <x:c r="O494" s="14" t="n">
        <x:v>100830</x:v>
      </x:c>
      <x:c r="P494" t="str">
        <x:v>R-E</x:v>
      </x:c>
      <x:c r="Q494" s="12" t="n">
        <x:v>4</x:v>
      </x:c>
      <x:c r="R494" s="12" t="n">
        <x:v>4.13</x:v>
      </x:c>
      <x:c r="S494" s="12" t="n">
        <x:v>4.3</x:v>
      </x:c>
      <x:c r="T494" s="12" t="n">
        <x:v>4.08</x:v>
      </x:c>
      <x:c r="U494" s="12" t="n">
        <x:v>3.6</x:v>
      </x:c>
      <x:c r="V494" s="12" t="n">
        <x:v>3.96</x:v>
      </x:c>
      <x:c r="W494" s="12" t="n">
        <x:f>ROUND((Q494*0.24)+(R494*0.22)+(S494*0.16)+(T494*0.18)+(U494*0.10)+(V494*0.10),2)</x:f>
        <x:v>4.05</x:v>
      </x:c>
      <x:c r="X494" t="str">
        <x:f>IF(W494&gt;=3.55,"Pass","Fail")</x:f>
        <x:v>Pass</x:v>
      </x:c>
      <x:c r="Y494" t="str">
        <x:v>contact point hidden</x:v>
      </x:c>
      <x:c r="Z494" t="str">
        <x:v>Rater note: The clip has the right ingredients but not quite the right mechanics. It needs a tighter prompt about grip, contact, and the end position. This reads better as a teaser than as an instructional clip. Continuity is useful here, but it cannot replace showing the actual contact point.</x:v>
      </x:c>
      <x:c r="AA494" t="str">
        <x:v>Use sequential context only for continuity, not for adding previous/next steps into the frame.</x:v>
      </x:c>
      <x:c r="AB494" t="str">
        <x:v>Medium-High</x:v>
      </x:c>
      <x:c r="AC494" t="str"/>
      <x:c r="AD494" t="str">
        <x:v>Synthetic benchmark entry; generated clip URL should be filled after API run.</x:v>
      </x:c>
    </x:row>
    <x:row r="495">
      <x:c r="A495" t="str">
        <x:v>S083-Sora-SEQ</x:v>
      </x:c>
      <x:c r="B495" t="str">
        <x:v>S083</x:v>
      </x:c>
      <x:c r="C495" t="str">
        <x:v>Automotive</x:v>
      </x:c>
      <x:c r="D495" t="str">
        <x:v>tire service</x:v>
      </x:c>
      <x:c r="E495" t="str">
        <x:v>inflating</x:v>
      </x:c>
      <x:c r="F495" t="n">
        <x:v>3</x:v>
      </x:c>
      <x:c r="G495" t="str">
        <x:v>add air to a tire while watching the gauge</x:v>
      </x:c>
      <x:c r="H495" t="str">
        <x:v>air hose</x:v>
      </x:c>
      <x:c r="I495" t="str">
        <x:v>tire valve stem</x:v>
      </x:c>
      <x:c r="J495" t="str">
        <x:v>Sora 2 Pro</x:v>
      </x:c>
      <x:c r="K495" t="str">
        <x:v>Sequential Context</x:v>
      </x:c>
      <x:c r="L495" t="str">
        <x:v>Provides previous and next step for continuity without asking for them to appear.</x:v>
      </x:c>
      <x:c r="M495" t="str">
        <x:v>Close-up realistic instructional DIY video: add air to a tire while watching the gauge. Show air hose working on tire valve stem. Hands visible, stable camera, no text overlay, neutral shop lighting. This is the middle clip in a sequence. Previous step has already prepared the work area; next step will verify the result. Keep the same workpiece, camera distance, and hand orientation.</x:v>
      </x:c>
      <x:c r="N495" s="14" t="n">
        <x:v>8</x:v>
      </x:c>
      <x:c r="O495" s="14" t="n">
        <x:v>100831</x:v>
      </x:c>
      <x:c r="P495" t="str">
        <x:v>R-A</x:v>
      </x:c>
      <x:c r="Q495" s="12" t="n">
        <x:v>4.04</x:v>
      </x:c>
      <x:c r="R495" s="12" t="n">
        <x:v>4.43</x:v>
      </x:c>
      <x:c r="S495" s="12" t="n">
        <x:v>3.88</x:v>
      </x:c>
      <x:c r="T495" s="12" t="n">
        <x:v>4.13</x:v>
      </x:c>
      <x:c r="U495" s="12" t="n">
        <x:v>3.88</x:v>
      </x:c>
      <x:c r="V495" s="12" t="n">
        <x:v>3.96</x:v>
      </x:c>
      <x:c r="W495" s="12" t="n">
        <x:f>ROUND((Q495*0.24)+(R495*0.22)+(S495*0.16)+(T495*0.18)+(U495*0.10)+(V495*0.10),2)</x:f>
        <x:v>4.09</x:v>
      </x:c>
      <x:c r="X495" t="str">
        <x:f>IF(W495&gt;=3.55,"Pass","Fail")</x:f>
        <x:v>Pass</x:v>
      </x:c>
      <x:c r="Y495" t="str">
        <x:v>minor continuity jump</x:v>
      </x:c>
      <x:c r="Z495" t="str">
        <x:v>Rater note: The intention is clear, especially if you already know the step. A novice might miss the key detail because this issue appears right where the action should be most explicit: minor continuity jump. The next prompt should slow the final second instead of adding more scene detail. Continuity is useful here, but it cannot replace showing the actual contact point.</x:v>
      </x:c>
      <x:c r="AA495" t="str">
        <x:v>Specify the exact contact point and do not allow the hand to cover it.</x:v>
      </x:c>
      <x:c r="AB495" t="str">
        <x:v>Medium-High</x:v>
      </x:c>
      <x:c r="AC495" t="str"/>
      <x:c r="AD495" t="str">
        <x:v>Simulated pilot row for planning; replace with blinded ratings after generating actual clips.</x:v>
      </x:c>
    </x:row>
    <x:row r="496">
      <x:c r="A496" t="str">
        <x:v>S083-Runway-SEQ</x:v>
      </x:c>
      <x:c r="B496" t="str">
        <x:v>S083</x:v>
      </x:c>
      <x:c r="C496" t="str">
        <x:v>Automotive</x:v>
      </x:c>
      <x:c r="D496" t="str">
        <x:v>tire service</x:v>
      </x:c>
      <x:c r="E496" t="str">
        <x:v>inflating</x:v>
      </x:c>
      <x:c r="F496" t="n">
        <x:v>3</x:v>
      </x:c>
      <x:c r="G496" t="str">
        <x:v>add air to a tire while watching the gauge</x:v>
      </x:c>
      <x:c r="H496" t="str">
        <x:v>air hose</x:v>
      </x:c>
      <x:c r="I496" t="str">
        <x:v>tire valve stem</x:v>
      </x:c>
      <x:c r="J496" t="str">
        <x:v>Runway Gen-4.5</x:v>
      </x:c>
      <x:c r="K496" t="str">
        <x:v>Sequential Context</x:v>
      </x:c>
      <x:c r="L496" t="str">
        <x:v>Provides previous and next step for continuity without asking for them to appear.</x:v>
      </x:c>
      <x:c r="M496" t="str">
        <x:v>Close-up realistic instructional DIY video: add air to a tire while watching the gauge. Show air hose working on tire valve stem. Hands visible, stable camera, no text overlay, neutral shop lighting. This is the middle clip in a sequence. Previous step has already prepared the work area; next step will verify the result. Keep the same workpiece, camera distance, and hand orientation.</x:v>
      </x:c>
      <x:c r="N496" s="14" t="n">
        <x:v>5</x:v>
      </x:c>
      <x:c r="O496" s="14" t="n">
        <x:v>100832</x:v>
      </x:c>
      <x:c r="P496" t="str">
        <x:v>R-D</x:v>
      </x:c>
      <x:c r="Q496" s="12" t="n">
        <x:v>4.05</x:v>
      </x:c>
      <x:c r="R496" s="12" t="n">
        <x:v>4.02</x:v>
      </x:c>
      <x:c r="S496" s="12" t="n">
        <x:v>3.73</x:v>
      </x:c>
      <x:c r="T496" s="12" t="n">
        <x:v>3.62</x:v>
      </x:c>
      <x:c r="U496" s="12" t="n">
        <x:v>3.5</x:v>
      </x:c>
      <x:c r="V496" s="12" t="n">
        <x:v>4.26</x:v>
      </x:c>
      <x:c r="W496" s="12" t="n">
        <x:f>ROUND((Q496*0.24)+(R496*0.22)+(S496*0.16)+(T496*0.18)+(U496*0.10)+(V496*0.10),2)</x:f>
        <x:v>3.88</x:v>
      </x:c>
      <x:c r="X496" t="str">
        <x:f>IF(W496&gt;=3.55,"Pass","Fail")</x:f>
        <x:v>Pass</x:v>
      </x:c>
      <x:c r="Y496" t="str">
        <x:v>tool pose a little soft</x:v>
      </x:c>
      <x:c r="Z496" t="str">
        <x:v>Human check: The intention is clear, especially if you already know the step. A novice might miss the key detail because this issue appears right where the action should be most explicit: tool pose a little soft. This would be safer as a reference-aided run than a text-only run. Continuity is useful here, but it cannot replace showing the actual contact point.</x:v>
      </x:c>
      <x:c r="AA496" t="str">
        <x:v>Break the action into start, contact, movement, and finish; ban extra tools and hand morphing.</x:v>
      </x:c>
      <x:c r="AB496" t="str">
        <x:v>Medium</x:v>
      </x:c>
      <x:c r="AC496" t="str"/>
      <x:c r="AD496" t="str">
        <x:v>Planning dataset only; scores are plausible placeholders, not vendor claims.</x:v>
      </x:c>
    </x:row>
    <x:row r="497">
      <x:c r="A497" t="str">
        <x:v>S083-Kling-SEQ</x:v>
      </x:c>
      <x:c r="B497" t="str">
        <x:v>S083</x:v>
      </x:c>
      <x:c r="C497" t="str">
        <x:v>Automotive</x:v>
      </x:c>
      <x:c r="D497" t="str">
        <x:v>tire service</x:v>
      </x:c>
      <x:c r="E497" t="str">
        <x:v>inflating</x:v>
      </x:c>
      <x:c r="F497" t="n">
        <x:v>3</x:v>
      </x:c>
      <x:c r="G497" t="str">
        <x:v>add air to a tire while watching the gauge</x:v>
      </x:c>
      <x:c r="H497" t="str">
        <x:v>air hose</x:v>
      </x:c>
      <x:c r="I497" t="str">
        <x:v>tire valve stem</x:v>
      </x:c>
      <x:c r="J497" t="str">
        <x:v>Kling v3.0 (Replicate)</x:v>
      </x:c>
      <x:c r="K497" t="str">
        <x:v>Sequential Context</x:v>
      </x:c>
      <x:c r="L497" t="str">
        <x:v>Provides previous and next step for continuity without asking for them to appear.</x:v>
      </x:c>
      <x:c r="M497" t="str">
        <x:v>Close-up realistic instructional DIY video: add air to a tire while watching the gauge. Show air hose working on tire valve stem. Hands visible, stable camera, no text overlay, neutral shop lighting. This is the middle clip in a sequence. Previous step has already prepared the work area; next step will verify the result. Keep the same workpiece, camera distance, and hand orientation.</x:v>
      </x:c>
      <x:c r="N497" s="14" t="n">
        <x:v>10</x:v>
      </x:c>
      <x:c r="O497" s="14" t="n">
        <x:v>100833</x:v>
      </x:c>
      <x:c r="P497" t="str">
        <x:v>R-B</x:v>
      </x:c>
      <x:c r="Q497" s="12" t="n">
        <x:v>3.71</x:v>
      </x:c>
      <x:c r="R497" s="12" t="n">
        <x:v>4.05</x:v>
      </x:c>
      <x:c r="S497" s="12" t="n">
        <x:v>3.61</x:v>
      </x:c>
      <x:c r="T497" s="12" t="n">
        <x:v>3.73</x:v>
      </x:c>
      <x:c r="U497" s="12" t="n">
        <x:v>3.4</x:v>
      </x:c>
      <x:c r="V497" s="12" t="n">
        <x:v>3.73</x:v>
      </x:c>
      <x:c r="W497" s="12" t="n">
        <x:f>ROUND((Q497*0.24)+(R497*0.22)+(S497*0.16)+(T497*0.18)+(U497*0.10)+(V497*0.10),2)</x:f>
        <x:v>3.74</x:v>
      </x:c>
      <x:c r="X497" t="str">
        <x:f>IF(W497&gt;=3.55,"Pass","Fail")</x:f>
        <x:v>Pass</x:v>
      </x:c>
      <x:c r="Y497" t="str">
        <x:v>camera blocks work</x:v>
      </x:c>
      <x:c r="Z497" t="str">
        <x:v>QA note: The clip has the right ingredients but not quite the right mechanics. It needs a tighter prompt about grip, contact, and the end position. The most important fix is to show the before-and-after state without a cut. Continuity is useful here, but it cannot replace showing the actual contact point.</x:v>
      </x:c>
      <x:c r="AA497" t="str">
        <x:v>Specify the exact contact point and do not allow the hand to cover it.</x:v>
      </x:c>
      <x:c r="AB497" t="str">
        <x:v>High</x:v>
      </x:c>
      <x:c r="AC497" t="str"/>
      <x:c r="AD497" t="str">
        <x:v>Mock rater record for experiment design; audit against real video outputs before publication.</x:v>
      </x:c>
    </x:row>
    <x:row r="498">
      <x:c r="A498" t="str">
        <x:v>S083-Pika-SEQ</x:v>
      </x:c>
      <x:c r="B498" t="str">
        <x:v>S083</x:v>
      </x:c>
      <x:c r="C498" t="str">
        <x:v>Automotive</x:v>
      </x:c>
      <x:c r="D498" t="str">
        <x:v>tire service</x:v>
      </x:c>
      <x:c r="E498" t="str">
        <x:v>inflating</x:v>
      </x:c>
      <x:c r="F498" t="n">
        <x:v>3</x:v>
      </x:c>
      <x:c r="G498" t="str">
        <x:v>add air to a tire while watching the gauge</x:v>
      </x:c>
      <x:c r="H498" t="str">
        <x:v>air hose</x:v>
      </x:c>
      <x:c r="I498" t="str">
        <x:v>tire valve stem</x:v>
      </x:c>
      <x:c r="J498" t="str">
        <x:v>Pika 2.2</x:v>
      </x:c>
      <x:c r="K498" t="str">
        <x:v>Sequential Context</x:v>
      </x:c>
      <x:c r="L498" t="str">
        <x:v>Provides previous and next step for continuity without asking for them to appear.</x:v>
      </x:c>
      <x:c r="M498" t="str">
        <x:v>Close-up realistic instructional DIY video: add air to a tire while watching the gauge. Show air hose working on tire valve stem. Hands visible, stable camera, no text overlay, neutral shop lighting. This is the middle clip in a sequence. Previous step has already prepared the work area; next step will verify the result. Keep the same workpiece, camera distance, and hand orientation.</x:v>
      </x:c>
      <x:c r="N498" s="14" t="n">
        <x:v>5</x:v>
      </x:c>
      <x:c r="O498" s="14" t="n">
        <x:v>100834</x:v>
      </x:c>
      <x:c r="P498" t="str">
        <x:v>R-D</x:v>
      </x:c>
      <x:c r="Q498" s="12" t="n">
        <x:v>3.4</x:v>
      </x:c>
      <x:c r="R498" s="12" t="n">
        <x:v>3.55</x:v>
      </x:c>
      <x:c r="S498" s="12" t="n">
        <x:v>3.91</x:v>
      </x:c>
      <x:c r="T498" s="12" t="n">
        <x:v>3.7</x:v>
      </x:c>
      <x:c r="U498" s="12" t="n">
        <x:v>3.32</x:v>
      </x:c>
      <x:c r="V498" s="12" t="n">
        <x:v>3.63</x:v>
      </x:c>
      <x:c r="W498" s="12" t="n">
        <x:f>ROUND((Q498*0.24)+(R498*0.22)+(S498*0.16)+(T498*0.18)+(U498*0.10)+(V498*0.10),2)</x:f>
        <x:v>3.58</x:v>
      </x:c>
      <x:c r="X498" t="str">
        <x:f>IF(W498&gt;=3.55,"Pass","Fail")</x:f>
        <x:v>Pass</x:v>
      </x:c>
      <x:c r="Y498" t="str">
        <x:v>wrong grip on tool</x:v>
      </x:c>
      <x:c r="Z498" t="str">
        <x:v>QA note: Looks plausible at first glance. On a second pass, the tire valve stem shifts slightly and the model seems to infer the outcome rather than show the full inflating. This reads better as a teaser than as an instructional clip. Continuity is useful here, but it cannot replace showing the actual contact point.</x:v>
      </x:c>
      <x:c r="AA498" t="str">
        <x:v>Ask for a static close-up and require the air hose to touch the tire valve stem before any motion starts.</x:v>
      </x:c>
      <x:c r="AB498" t="str">
        <x:v>Medium</x:v>
      </x:c>
      <x:c r="AC498" t="str"/>
      <x:c r="AD498" t="str">
        <x:v>Synthetic benchmark entry; generated clip URL should be filled after API run.</x:v>
      </x:c>
    </x:row>
    <x:row r="499">
      <x:c r="A499" t="str">
        <x:v>S083-Vidu-SEQ</x:v>
      </x:c>
      <x:c r="B499" t="str">
        <x:v>S083</x:v>
      </x:c>
      <x:c r="C499" t="str">
        <x:v>Automotive</x:v>
      </x:c>
      <x:c r="D499" t="str">
        <x:v>tire service</x:v>
      </x:c>
      <x:c r="E499" t="str">
        <x:v>inflating</x:v>
      </x:c>
      <x:c r="F499" t="n">
        <x:v>3</x:v>
      </x:c>
      <x:c r="G499" t="str">
        <x:v>add air to a tire while watching the gauge</x:v>
      </x:c>
      <x:c r="H499" t="str">
        <x:v>air hose</x:v>
      </x:c>
      <x:c r="I499" t="str">
        <x:v>tire valve stem</x:v>
      </x:c>
      <x:c r="J499" t="str">
        <x:v>Vidu 2.0</x:v>
      </x:c>
      <x:c r="K499" t="str">
        <x:v>Sequential Context</x:v>
      </x:c>
      <x:c r="L499" t="str">
        <x:v>Provides previous and next step for continuity without asking for them to appear.</x:v>
      </x:c>
      <x:c r="M499" t="str">
        <x:v>Close-up realistic instructional DIY video: add air to a tire while watching the gauge. Show air hose working on tire valve stem. Hands visible, stable camera, no text overlay, neutral shop lighting. This is the middle clip in a sequence. Previous step has already prepared the work area; next step will verify the result. Keep the same workpiece, camera distance, and hand orientation.</x:v>
      </x:c>
      <x:c r="N499" s="14" t="n">
        <x:v>5</x:v>
      </x:c>
      <x:c r="O499" s="14" t="n">
        <x:v>100835</x:v>
      </x:c>
      <x:c r="P499" t="str">
        <x:v>R-B</x:v>
      </x:c>
      <x:c r="Q499" s="12" t="n">
        <x:v>3.44</x:v>
      </x:c>
      <x:c r="R499" s="12" t="n">
        <x:v>3.42</x:v>
      </x:c>
      <x:c r="S499" s="12" t="n">
        <x:v>2.97</x:v>
      </x:c>
      <x:c r="T499" s="12" t="n">
        <x:v>3.37</x:v>
      </x:c>
      <x:c r="U499" s="12" t="n">
        <x:v>3.43</x:v>
      </x:c>
      <x:c r="V499" s="12" t="n">
        <x:v>3.84</x:v>
      </x:c>
      <x:c r="W499" s="12" t="n">
        <x:f>ROUND((Q499*0.24)+(R499*0.22)+(S499*0.16)+(T499*0.18)+(U499*0.10)+(V499*0.10),2)</x:f>
        <x:v>3.39</x:v>
      </x:c>
      <x:c r="X499" t="str">
        <x:f>IF(W499&gt;=3.55,"Pass","Fail")</x:f>
        <x:v>Fail</x:v>
      </x:c>
      <x:c r="Y499" t="str">
        <x:v>camera blocks work</x:v>
      </x:c>
      <x:c r="Z499" t="str">
        <x:v>Review note: A reviewer would likely reject this. It may be visually attractive, but the tool/object relationship breaks during the important moment. The prompt should prioritize hand path over cinematic lighting. Continuity is useful here, but it cannot replace showing the actual contact point.</x:v>
      </x:c>
      <x:c r="AA499" t="str">
        <x:v>Add a one-sentence end-state requirement: viewer must see the completed inflating result for one full second.</x:v>
      </x:c>
      <x:c r="AB499" t="str">
        <x:v>Medium</x:v>
      </x:c>
      <x:c r="AC499" t="str"/>
      <x:c r="AD499" t="str">
        <x:v>Simulated pilot row for planning; replace with blinded ratings after generating actual clips.</x:v>
      </x:c>
    </x:row>
    <x:row r="500">
      <x:c r="A500" t="str">
        <x:v>S084-Veo-CON</x:v>
      </x:c>
      <x:c r="B500" t="str">
        <x:v>S084</x:v>
      </x:c>
      <x:c r="C500" t="str">
        <x:v>Automotive</x:v>
      </x:c>
      <x:c r="D500" t="str">
        <x:v>battery</x:v>
      </x:c>
      <x:c r="E500" t="str">
        <x:v>disconnecting</x:v>
      </x:c>
      <x:c r="F500" t="n">
        <x:v>4</x:v>
      </x:c>
      <x:c r="G500" t="str">
        <x:v>loosen and remove the negative battery terminal clamp</x:v>
      </x:c>
      <x:c r="H500" t="str">
        <x:v>socket wrench</x:v>
      </x:c>
      <x:c r="I500" t="str">
        <x:v>negative battery terminal</x:v>
      </x:c>
      <x:c r="J500" t="str">
        <x:v>Veo 3.1</x:v>
      </x:c>
      <x:c r="K500" t="str">
        <x:v>Constraint-Rich Negative Prompt</x:v>
      </x:c>
      <x:c r="L500" t="str">
        <x:v>Adds concise no-floating-tools/no-extra-objects/no-morphing constraints.</x:v>
      </x:c>
      <x:c r="M500" t="str">
        <x:v>Close-up realistic instructional DIY video: loosen and remove the negative battery terminal clamp. Show socket wrench working on negative battery terminal. Hands visible, stable camera, no text overlay, neutral shop lighting. Constraints: no floating tools, no extra tools, no morphing hands, no reversed motion, no impossible deformation, no dramatic camera spin. Keep the full action legible.</x:v>
      </x:c>
      <x:c r="N500" s="14" t="n">
        <x:v>8</x:v>
      </x:c>
      <x:c r="O500" s="14" t="n">
        <x:v>100840</x:v>
      </x:c>
      <x:c r="P500" t="str">
        <x:v>R-A</x:v>
      </x:c>
      <x:c r="Q500" s="12" t="n">
        <x:v>4.15</x:v>
      </x:c>
      <x:c r="R500" s="12" t="n">
        <x:v>3.95</x:v>
      </x:c>
      <x:c r="S500" s="12" t="n">
        <x:v>4.36</x:v>
      </x:c>
      <x:c r="T500" s="12" t="n">
        <x:v>4.05</x:v>
      </x:c>
      <x:c r="U500" s="12" t="n">
        <x:v>3.69</x:v>
      </x:c>
      <x:c r="V500" s="12" t="n">
        <x:v>4.09</x:v>
      </x:c>
      <x:c r="W500" s="12" t="n">
        <x:f>ROUND((Q500*0.24)+(R500*0.22)+(S500*0.16)+(T500*0.18)+(U500*0.10)+(V500*0.10),2)</x:f>
        <x:v>4.07</x:v>
      </x:c>
      <x:c r="X500" t="str">
        <x:f>IF(W500&gt;=3.55,"Pass","Fail")</x:f>
        <x:v>Pass</x:v>
      </x:c>
      <x:c r="Y500" t="str">
        <x:v>unsafe hand placement</x:v>
      </x:c>
      <x:c r="Z500" t="str">
        <x:v>Clip review: Usable, but I would not show it without review. The socket wrench is recognizable, yet the exact contact point is hard to see when the hand crosses the frame. The tool silhouette is acceptable; the mechanics are the weak part. The negative constraints help, but they do not fully solve the mechanics.</x:v>
      </x:c>
      <x:c r="AA500" t="str">
        <x:v>Add a one-sentence end-state requirement: viewer must see the completed disconnecting result for one full second.</x:v>
      </x:c>
      <x:c r="AB500" t="str">
        <x:v>High</x:v>
      </x:c>
      <x:c r="AC500" t="str"/>
      <x:c r="AD500" t="str">
        <x:v>Simulated pilot row for planning; replace with blinded ratings after generating actual clips.</x:v>
      </x:c>
    </x:row>
    <x:row r="501">
      <x:c r="A501" t="str">
        <x:v>S084-Sora-CON</x:v>
      </x:c>
      <x:c r="B501" t="str">
        <x:v>S084</x:v>
      </x:c>
      <x:c r="C501" t="str">
        <x:v>Automotive</x:v>
      </x:c>
      <x:c r="D501" t="str">
        <x:v>battery</x:v>
      </x:c>
      <x:c r="E501" t="str">
        <x:v>disconnecting</x:v>
      </x:c>
      <x:c r="F501" t="n">
        <x:v>4</x:v>
      </x:c>
      <x:c r="G501" t="str">
        <x:v>loosen and remove the negative battery terminal clamp</x:v>
      </x:c>
      <x:c r="H501" t="str">
        <x:v>socket wrench</x:v>
      </x:c>
      <x:c r="I501" t="str">
        <x:v>negative battery terminal</x:v>
      </x:c>
      <x:c r="J501" t="str">
        <x:v>Sora 2 Pro</x:v>
      </x:c>
      <x:c r="K501" t="str">
        <x:v>Constraint-Rich Negative Prompt</x:v>
      </x:c>
      <x:c r="L501" t="str">
        <x:v>Adds concise no-floating-tools/no-extra-objects/no-morphing constraints.</x:v>
      </x:c>
      <x:c r="M501" t="str">
        <x:v>Close-up realistic instructional DIY video: loosen and remove the negative battery terminal clamp. Show socket wrench working on negative battery terminal. Hands visible, stable camera, no text overlay, neutral shop lighting. Constraints: no floating tools, no extra tools, no morphing hands, no reversed motion, no impossible deformation, no dramatic camera spin. Keep the full action legible.</x:v>
      </x:c>
      <x:c r="N501" s="14" t="n">
        <x:v>8</x:v>
      </x:c>
      <x:c r="O501" s="14" t="n">
        <x:v>100841</x:v>
      </x:c>
      <x:c r="P501" t="str">
        <x:v>R-E</x:v>
      </x:c>
      <x:c r="Q501" s="12" t="n">
        <x:v>3.62</x:v>
      </x:c>
      <x:c r="R501" s="12" t="n">
        <x:v>4.16</x:v>
      </x:c>
      <x:c r="S501" s="12" t="n">
        <x:v>3.99</x:v>
      </x:c>
      <x:c r="T501" s="12" t="n">
        <x:v>4.07</x:v>
      </x:c>
      <x:c r="U501" s="12" t="n">
        <x:v>3.84</x:v>
      </x:c>
      <x:c r="V501" s="12" t="n">
        <x:v>4.04</x:v>
      </x:c>
      <x:c r="W501" s="12" t="n">
        <x:f>ROUND((Q501*0.24)+(R501*0.22)+(S501*0.16)+(T501*0.18)+(U501*0.10)+(V501*0.10),2)</x:f>
        <x:v>3.94</x:v>
      </x:c>
      <x:c r="X501" t="str">
        <x:f>IF(W501&gt;=3.55,"Pass","Fail")</x:f>
        <x:v>Pass</x:v>
      </x:c>
      <x:c r="Y501" t="str">
        <x:v>tool pose a little soft</x:v>
      </x:c>
      <x:c r="Z501" t="str">
        <x:v>Clip review: I would keep this as a rough candidate. It communicates the step, although the failure mode makes it weaker than a real sourced clip: tool pose a little soft. On a small preview it might pass, but full-screen review exposes the issue. The negative constraints help, but they do not fully solve the mechanics.</x:v>
      </x:c>
      <x:c r="AA501" t="str">
        <x:v>Ask for a static close-up and require the socket wrench to touch the negative battery terminal before any motion starts.</x:v>
      </x:c>
      <x:c r="AB501" t="str">
        <x:v>Medium-High</x:v>
      </x:c>
      <x:c r="AC501" t="str"/>
      <x:c r="AD501" t="str">
        <x:v>Simulated pilot row for planning; replace with blinded ratings after generating actual clips.</x:v>
      </x:c>
    </x:row>
    <x:row r="502">
      <x:c r="A502" t="str">
        <x:v>S084-Runway-CON</x:v>
      </x:c>
      <x:c r="B502" t="str">
        <x:v>S084</x:v>
      </x:c>
      <x:c r="C502" t="str">
        <x:v>Automotive</x:v>
      </x:c>
      <x:c r="D502" t="str">
        <x:v>battery</x:v>
      </x:c>
      <x:c r="E502" t="str">
        <x:v>disconnecting</x:v>
      </x:c>
      <x:c r="F502" t="n">
        <x:v>4</x:v>
      </x:c>
      <x:c r="G502" t="str">
        <x:v>loosen and remove the negative battery terminal clamp</x:v>
      </x:c>
      <x:c r="H502" t="str">
        <x:v>socket wrench</x:v>
      </x:c>
      <x:c r="I502" t="str">
        <x:v>negative battery terminal</x:v>
      </x:c>
      <x:c r="J502" t="str">
        <x:v>Runway Gen-4.5</x:v>
      </x:c>
      <x:c r="K502" t="str">
        <x:v>Constraint-Rich Negative Prompt</x:v>
      </x:c>
      <x:c r="L502" t="str">
        <x:v>Adds concise no-floating-tools/no-extra-objects/no-morphing constraints.</x:v>
      </x:c>
      <x:c r="M502" t="str">
        <x:v>Close-up realistic instructional DIY video: loosen and remove the negative battery terminal clamp. Show socket wrench working on negative battery terminal. Hands visible, stable camera, no text overlay, neutral shop lighting. Constraints: no floating tools, no extra tools, no morphing hands, no reversed motion, no impossible deformation, no dramatic camera spin. Keep the full action legible.</x:v>
      </x:c>
      <x:c r="N502" s="14" t="n">
        <x:v>5</x:v>
      </x:c>
      <x:c r="O502" s="14" t="n">
        <x:v>100842</x:v>
      </x:c>
      <x:c r="P502" t="str">
        <x:v>R-A</x:v>
      </x:c>
      <x:c r="Q502" s="12" t="n">
        <x:v>3.92</x:v>
      </x:c>
      <x:c r="R502" s="12" t="n">
        <x:v>4.01</x:v>
      </x:c>
      <x:c r="S502" s="12" t="n">
        <x:v>3.3</x:v>
      </x:c>
      <x:c r="T502" s="12" t="n">
        <x:v>3.97</x:v>
      </x:c>
      <x:c r="U502" s="12" t="n">
        <x:v>4.04</x:v>
      </x:c>
      <x:c r="V502" s="12" t="n">
        <x:v>3.14</x:v>
      </x:c>
      <x:c r="W502" s="12" t="n">
        <x:f>ROUND((Q502*0.24)+(R502*0.22)+(S502*0.16)+(T502*0.18)+(U502*0.10)+(V502*0.10),2)</x:f>
        <x:v>3.78</x:v>
      </x:c>
      <x:c r="X502" t="str">
        <x:f>IF(W502&gt;=3.55,"Pass","Fail")</x:f>
        <x:v>Pass</x:v>
      </x:c>
      <x:c r="Y502" t="str">
        <x:v>missing safety cue</x:v>
      </x:c>
      <x:c r="Z502" t="str">
        <x:v>Human check: The clip has the right ingredients but not quite the right mechanics. It needs a tighter prompt about grip, contact, and the end position. On a small preview it might pass, but full-screen review exposes the issue. The negative constraints help, but they do not fully solve the mechanics.</x:v>
      </x:c>
      <x:c r="AA502" t="str">
        <x:v>Break the action into start, contact, movement, and finish; ban extra tools and hand morphing.</x:v>
      </x:c>
      <x:c r="AB502" t="str">
        <x:v>High</x:v>
      </x:c>
      <x:c r="AC502" t="str"/>
      <x:c r="AD502" t="str">
        <x:v>Synthetic benchmark entry; generated clip URL should be filled after API run.</x:v>
      </x:c>
    </x:row>
    <x:row r="503">
      <x:c r="A503" t="str">
        <x:v>S084-Kling-CON</x:v>
      </x:c>
      <x:c r="B503" t="str">
        <x:v>S084</x:v>
      </x:c>
      <x:c r="C503" t="str">
        <x:v>Automotive</x:v>
      </x:c>
      <x:c r="D503" t="str">
        <x:v>battery</x:v>
      </x:c>
      <x:c r="E503" t="str">
        <x:v>disconnecting</x:v>
      </x:c>
      <x:c r="F503" t="n">
        <x:v>4</x:v>
      </x:c>
      <x:c r="G503" t="str">
        <x:v>loosen and remove the negative battery terminal clamp</x:v>
      </x:c>
      <x:c r="H503" t="str">
        <x:v>socket wrench</x:v>
      </x:c>
      <x:c r="I503" t="str">
        <x:v>negative battery terminal</x:v>
      </x:c>
      <x:c r="J503" t="str">
        <x:v>Kling v3.0 (Replicate)</x:v>
      </x:c>
      <x:c r="K503" t="str">
        <x:v>Constraint-Rich Negative Prompt</x:v>
      </x:c>
      <x:c r="L503" t="str">
        <x:v>Adds concise no-floating-tools/no-extra-objects/no-morphing constraints.</x:v>
      </x:c>
      <x:c r="M503" t="str">
        <x:v>Close-up realistic instructional DIY video: loosen and remove the negative battery terminal clamp. Show socket wrench working on negative battery terminal. Hands visible, stable camera, no text overlay, neutral shop lighting. Constraints: no floating tools, no extra tools, no morphing hands, no reversed motion, no impossible deformation, no dramatic camera spin. Keep the full action legible.</x:v>
      </x:c>
      <x:c r="N503" s="14" t="n">
        <x:v>10</x:v>
      </x:c>
      <x:c r="O503" s="14" t="n">
        <x:v>100843</x:v>
      </x:c>
      <x:c r="P503" t="str">
        <x:v>R-C</x:v>
      </x:c>
      <x:c r="Q503" s="12" t="n">
        <x:v>3.98</x:v>
      </x:c>
      <x:c r="R503" s="12" t="n">
        <x:v>3.29</x:v>
      </x:c>
      <x:c r="S503" s="12" t="n">
        <x:v>3.28</x:v>
      </x:c>
      <x:c r="T503" s="12" t="n">
        <x:v>3.26</x:v>
      </x:c>
      <x:c r="U503" s="12" t="n">
        <x:v>3.78</x:v>
      </x:c>
      <x:c r="V503" s="12" t="n">
        <x:v>4.29</x:v>
      </x:c>
      <x:c r="W503" s="12" t="n">
        <x:f>ROUND((Q503*0.24)+(R503*0.22)+(S503*0.16)+(T503*0.18)+(U503*0.10)+(V503*0.10),2)</x:f>
        <x:v>3.6</x:v>
      </x:c>
      <x:c r="X503" t="str">
        <x:f>IF(W503&gt;=3.55,"Pass","Fail")</x:f>
        <x:v>Pass</x:v>
      </x:c>
      <x:c r="Y503" t="str">
        <x:v>action starts too late</x:v>
      </x:c>
      <x:c r="Z503" t="str">
        <x:v>Review note: The clip has the right ingredients but not quite the right mechanics. It needs a tighter prompt about grip, contact, and the end position. I would keep the same camera angle but ask for a tighter view of the contact point. The negative constraints help, but they do not fully solve the mechanics.</x:v>
      </x:c>
      <x:c r="AA503" t="str">
        <x:v>Use sequential context only for continuity, not for adding previous/next steps into the frame.</x:v>
      </x:c>
      <x:c r="AB503" t="str">
        <x:v>Medium</x:v>
      </x:c>
      <x:c r="AC503" t="str"/>
      <x:c r="AD503" t="str">
        <x:v>Simulated pilot row for planning; replace with blinded ratings after generating actual clips.</x:v>
      </x:c>
    </x:row>
    <x:row r="504">
      <x:c r="A504" t="str">
        <x:v>S084-Pika-CON</x:v>
      </x:c>
      <x:c r="B504" t="str">
        <x:v>S084</x:v>
      </x:c>
      <x:c r="C504" t="str">
        <x:v>Automotive</x:v>
      </x:c>
      <x:c r="D504" t="str">
        <x:v>battery</x:v>
      </x:c>
      <x:c r="E504" t="str">
        <x:v>disconnecting</x:v>
      </x:c>
      <x:c r="F504" t="n">
        <x:v>4</x:v>
      </x:c>
      <x:c r="G504" t="str">
        <x:v>loosen and remove the negative battery terminal clamp</x:v>
      </x:c>
      <x:c r="H504" t="str">
        <x:v>socket wrench</x:v>
      </x:c>
      <x:c r="I504" t="str">
        <x:v>negative battery terminal</x:v>
      </x:c>
      <x:c r="J504" t="str">
        <x:v>Pika 2.2</x:v>
      </x:c>
      <x:c r="K504" t="str">
        <x:v>Constraint-Rich Negative Prompt</x:v>
      </x:c>
      <x:c r="L504" t="str">
        <x:v>Adds concise no-floating-tools/no-extra-objects/no-morphing constraints.</x:v>
      </x:c>
      <x:c r="M504" t="str">
        <x:v>Close-up realistic instructional DIY video: loosen and remove the negative battery terminal clamp. Show socket wrench working on negative battery terminal. Hands visible, stable camera, no text overlay, neutral shop lighting. Constraints: no floating tools, no extra tools, no morphing hands, no reversed motion, no impossible deformation, no dramatic camera spin. Keep the full action legible.</x:v>
      </x:c>
      <x:c r="N504" s="14" t="n">
        <x:v>5</x:v>
      </x:c>
      <x:c r="O504" s="14" t="n">
        <x:v>100844</x:v>
      </x:c>
      <x:c r="P504" t="str">
        <x:v>R-A</x:v>
      </x:c>
      <x:c r="Q504" s="12" t="n">
        <x:v>3.47</x:v>
      </x:c>
      <x:c r="R504" s="12" t="n">
        <x:v>3.4</x:v>
      </x:c>
      <x:c r="S504" s="12" t="n">
        <x:v>3.18</x:v>
      </x:c>
      <x:c r="T504" s="12" t="n">
        <x:v>3.85</x:v>
      </x:c>
      <x:c r="U504" s="12" t="n">
        <x:v>3.33</x:v>
      </x:c>
      <x:c r="V504" s="12" t="n">
        <x:v>3.3</x:v>
      </x:c>
      <x:c r="W504" s="12" t="n">
        <x:f>ROUND((Q504*0.24)+(R504*0.22)+(S504*0.16)+(T504*0.18)+(U504*0.10)+(V504*0.10),2)</x:f>
        <x:v>3.45</x:v>
      </x:c>
      <x:c r="X504" t="str">
        <x:f>IF(W504&gt;=3.55,"Pass","Fail")</x:f>
        <x:v>Fail</x:v>
      </x:c>
      <x:c r="Y504" t="str">
        <x:v>unsafe hand placement</x:v>
      </x:c>
      <x:c r="Z504" t="str">
        <x:v>Review note: The generated clip loses the procedure. I would re-run with a reference frame and a stricter Action-Object-Tool prompt. The tool silhouette is acceptable; the mechanics are the weak part. The negative constraints help, but they do not fully solve the mechanics.</x:v>
      </x:c>
      <x:c r="AA504" t="str">
        <x:v>Move safety language earlier in the prompt and remove cinematic camera instructions.</x:v>
      </x:c>
      <x:c r="AB504" t="str">
        <x:v>Medium</x:v>
      </x:c>
      <x:c r="AC504" t="str"/>
      <x:c r="AD504" t="str">
        <x:v>Simulated pilot row for planning; replace with blinded ratings after generating actual clips.</x:v>
      </x:c>
    </x:row>
    <x:row r="505">
      <x:c r="A505" t="str">
        <x:v>S084-Vidu-CON</x:v>
      </x:c>
      <x:c r="B505" t="str">
        <x:v>S084</x:v>
      </x:c>
      <x:c r="C505" t="str">
        <x:v>Automotive</x:v>
      </x:c>
      <x:c r="D505" t="str">
        <x:v>battery</x:v>
      </x:c>
      <x:c r="E505" t="str">
        <x:v>disconnecting</x:v>
      </x:c>
      <x:c r="F505" t="n">
        <x:v>4</x:v>
      </x:c>
      <x:c r="G505" t="str">
        <x:v>loosen and remove the negative battery terminal clamp</x:v>
      </x:c>
      <x:c r="H505" t="str">
        <x:v>socket wrench</x:v>
      </x:c>
      <x:c r="I505" t="str">
        <x:v>negative battery terminal</x:v>
      </x:c>
      <x:c r="J505" t="str">
        <x:v>Vidu 2.0</x:v>
      </x:c>
      <x:c r="K505" t="str">
        <x:v>Constraint-Rich Negative Prompt</x:v>
      </x:c>
      <x:c r="L505" t="str">
        <x:v>Adds concise no-floating-tools/no-extra-objects/no-morphing constraints.</x:v>
      </x:c>
      <x:c r="M505" t="str">
        <x:v>Close-up realistic instructional DIY video: loosen and remove the negative battery terminal clamp. Show socket wrench working on negative battery terminal. Hands visible, stable camera, no text overlay, neutral shop lighting. Constraints: no floating tools, no extra tools, no morphing hands, no reversed motion, no impossible deformation, no dramatic camera spin. Keep the full action legible.</x:v>
      </x:c>
      <x:c r="N505" s="14" t="n">
        <x:v>5</x:v>
      </x:c>
      <x:c r="O505" s="14" t="n">
        <x:v>100845</x:v>
      </x:c>
      <x:c r="P505" t="str">
        <x:v>R-A</x:v>
      </x:c>
      <x:c r="Q505" s="12" t="n">
        <x:v>3.16</x:v>
      </x:c>
      <x:c r="R505" s="12" t="n">
        <x:v>2.84</x:v>
      </x:c>
      <x:c r="S505" s="12" t="n">
        <x:v>3.08</x:v>
      </x:c>
      <x:c r="T505" s="12" t="n">
        <x:v>3.37</x:v>
      </x:c>
      <x:c r="U505" s="12" t="n">
        <x:v>3.03</x:v>
      </x:c>
      <x:c r="V505" s="12" t="n">
        <x:v>3.38</x:v>
      </x:c>
      <x:c r="W505" s="12" t="n">
        <x:f>ROUND((Q505*0.24)+(R505*0.22)+(S505*0.16)+(T505*0.18)+(U505*0.10)+(V505*0.10),2)</x:f>
        <x:v>3.12</x:v>
      </x:c>
      <x:c r="X505" t="str">
        <x:f>IF(W505&gt;=3.55,"Pass","Fail")</x:f>
        <x:v>Fail</x:v>
      </x:c>
      <x:c r="Y505" t="str">
        <x:v>unsafe hand placement</x:v>
      </x:c>
      <x:c r="Z505" t="str">
        <x:v>Review note: This should fail the instructional bar. The model gestures toward the task, but the failure mode prevents a learner from trusting the technique: unsafe hand placement. The mistake appears late, so a simple thumbnail review would probably miss it. The negative constraints help, but they do not fully solve the mechanics.</x:v>
      </x:c>
      <x:c r="AA505" t="str">
        <x:v>Use sequential context only for continuity, not for adding previous/next steps into the frame.</x:v>
      </x:c>
      <x:c r="AB505" t="str">
        <x:v>Medium</x:v>
      </x:c>
      <x:c r="AC505" t="str"/>
      <x:c r="AD505" t="str">
        <x:v>Synthetic benchmark entry; generated clip URL should be filled after API run.</x:v>
      </x:c>
    </x:row>
    <x:row r="506">
      <x:c r="A506" t="str">
        <x:v>S085-Veo-DIR</x:v>
      </x:c>
      <x:c r="B506" t="str">
        <x:v>S085</x:v>
      </x:c>
      <x:c r="C506" t="str">
        <x:v>Automotive</x:v>
      </x:c>
      <x:c r="D506" t="str">
        <x:v>battery</x:v>
      </x:c>
      <x:c r="E506" t="str">
        <x:v>cleaning</x:v>
      </x:c>
      <x:c r="F506" t="n">
        <x:v>3</x:v>
      </x:c>
      <x:c r="G506" t="str">
        <x:v>clean corrosion from a battery terminal with a wire brush</x:v>
      </x:c>
      <x:c r="H506" t="str">
        <x:v>wire brush</x:v>
      </x:c>
      <x:c r="I506" t="str">
        <x:v>battery terminal</x:v>
      </x:c>
      <x:c r="J506" t="str">
        <x:v>Veo 3.1</x:v>
      </x:c>
      <x:c r="K506" t="str">
        <x:v>Direct Natural Language</x:v>
      </x:c>
      <x:c r="L506" t="str">
        <x:v>Baseline wording only; no explicit decomposition.</x:v>
      </x:c>
      <x:c r="M506" t="str">
        <x:v>Close-up realistic instructional DIY video: clean corrosion from a battery terminal with a wire brush. Show wire brush working on battery terminal. Hands visible, stable camera, no text overlay, neutral shop lighting.</x:v>
      </x:c>
      <x:c r="N506" s="14" t="n">
        <x:v>8</x:v>
      </x:c>
      <x:c r="O506" s="14" t="n">
        <x:v>100850</x:v>
      </x:c>
      <x:c r="P506" t="str">
        <x:v>R-C</x:v>
      </x:c>
      <x:c r="Q506" s="12" t="n">
        <x:v>4.18</x:v>
      </x:c>
      <x:c r="R506" s="12" t="n">
        <x:v>3.89</x:v>
      </x:c>
      <x:c r="S506" s="12" t="n">
        <x:v>4.54</x:v>
      </x:c>
      <x:c r="T506" s="12" t="n">
        <x:v>3.72</x:v>
      </x:c>
      <x:c r="U506" s="12" t="n">
        <x:v>4.12</x:v>
      </x:c>
      <x:c r="V506" s="12" t="n">
        <x:v>3.73</x:v>
      </x:c>
      <x:c r="W506" s="12" t="n">
        <x:f>ROUND((Q506*0.24)+(R506*0.22)+(S506*0.16)+(T506*0.18)+(U506*0.10)+(V506*0.10),2)</x:f>
        <x:v>4.04</x:v>
      </x:c>
      <x:c r="X506" t="str">
        <x:f>IF(W506&gt;=3.55,"Pass","Fail")</x:f>
        <x:v>Pass</x:v>
      </x:c>
      <x:c r="Y506" t="str">
        <x:v>tool pose a little soft</x:v>
      </x:c>
      <x:c r="Z506" t="str">
        <x:v>Human check: The intention is clear, especially if you already know the step. A novice might miss the key detail because this issue appears right where the action should be most explicit: tool pose a little soft. The next prompt should slow the final second instead of adding more scene detail. For this automotive example, the main judgment is still whether the viewer can copy the motion.</x:v>
      </x:c>
      <x:c r="AA506" t="str">
        <x:v>Break the action into start, contact, movement, and finish; ban extra tools and hand morphing.</x:v>
      </x:c>
      <x:c r="AB506" t="str">
        <x:v>Medium</x:v>
      </x:c>
      <x:c r="AC506" t="str"/>
      <x:c r="AD506" t="str">
        <x:v>Planning dataset only; scores are plausible placeholders, not vendor claims.</x:v>
      </x:c>
    </x:row>
    <x:row r="507">
      <x:c r="A507" t="str">
        <x:v>S085-Sora-DIR</x:v>
      </x:c>
      <x:c r="B507" t="str">
        <x:v>S085</x:v>
      </x:c>
      <x:c r="C507" t="str">
        <x:v>Automotive</x:v>
      </x:c>
      <x:c r="D507" t="str">
        <x:v>battery</x:v>
      </x:c>
      <x:c r="E507" t="str">
        <x:v>cleaning</x:v>
      </x:c>
      <x:c r="F507" t="n">
        <x:v>3</x:v>
      </x:c>
      <x:c r="G507" t="str">
        <x:v>clean corrosion from a battery terminal with a wire brush</x:v>
      </x:c>
      <x:c r="H507" t="str">
        <x:v>wire brush</x:v>
      </x:c>
      <x:c r="I507" t="str">
        <x:v>battery terminal</x:v>
      </x:c>
      <x:c r="J507" t="str">
        <x:v>Sora 2 Pro</x:v>
      </x:c>
      <x:c r="K507" t="str">
        <x:v>Direct Natural Language</x:v>
      </x:c>
      <x:c r="L507" t="str">
        <x:v>Baseline wording only; no explicit decomposition.</x:v>
      </x:c>
      <x:c r="M507" t="str">
        <x:v>Close-up realistic instructional DIY video: clean corrosion from a battery terminal with a wire brush. Show wire brush working on battery terminal. Hands visible, stable camera, no text overlay, neutral shop lighting.</x:v>
      </x:c>
      <x:c r="N507" s="14" t="n">
        <x:v>8</x:v>
      </x:c>
      <x:c r="O507" s="14" t="n">
        <x:v>100851</x:v>
      </x:c>
      <x:c r="P507" t="str">
        <x:v>R-C</x:v>
      </x:c>
      <x:c r="Q507" s="12" t="n">
        <x:v>3.66</x:v>
      </x:c>
      <x:c r="R507" s="12" t="n">
        <x:v>3.91</x:v>
      </x:c>
      <x:c r="S507" s="12" t="n">
        <x:v>3.86</x:v>
      </x:c>
      <x:c r="T507" s="12" t="n">
        <x:v>3.87</x:v>
      </x:c>
      <x:c r="U507" s="12" t="n">
        <x:v>3.98</x:v>
      </x:c>
      <x:c r="V507" s="12" t="n">
        <x:v>4.54</x:v>
      </x:c>
      <x:c r="W507" s="12" t="n">
        <x:f>ROUND((Q507*0.24)+(R507*0.22)+(S507*0.16)+(T507*0.18)+(U507*0.10)+(V507*0.10),2)</x:f>
        <x:v>3.9</x:v>
      </x:c>
      <x:c r="X507" t="str">
        <x:f>IF(W507&gt;=3.55,"Pass","Fail")</x:f>
        <x:v>Pass</x:v>
      </x:c>
      <x:c r="Y507" t="str">
        <x:v>motion slightly compressed</x:v>
      </x:c>
      <x:c r="Z507" t="str">
        <x:v>Clip review: I would keep this as a rough candidate. It communicates the step, although the failure mode makes it weaker than a real sourced clip: motion slightly compressed. The prompt should prioritize hand path over cinematic lighting. For this automotive example, the main judgment is still whether the viewer can copy the motion.</x:v>
      </x:c>
      <x:c r="AA507" t="str">
        <x:v>Add a one-sentence end-state requirement: viewer must see the completed cleaning result for one full second.</x:v>
      </x:c>
      <x:c r="AB507" t="str">
        <x:v>Medium-High</x:v>
      </x:c>
      <x:c r="AC507" t="str"/>
      <x:c r="AD507" t="str">
        <x:v>Mock rater record for experiment design; audit against real video outputs before publication.</x:v>
      </x:c>
    </x:row>
    <x:row r="508">
      <x:c r="A508" t="str">
        <x:v>S085-Runway-DIR</x:v>
      </x:c>
      <x:c r="B508" t="str">
        <x:v>S085</x:v>
      </x:c>
      <x:c r="C508" t="str">
        <x:v>Automotive</x:v>
      </x:c>
      <x:c r="D508" t="str">
        <x:v>battery</x:v>
      </x:c>
      <x:c r="E508" t="str">
        <x:v>cleaning</x:v>
      </x:c>
      <x:c r="F508" t="n">
        <x:v>3</x:v>
      </x:c>
      <x:c r="G508" t="str">
        <x:v>clean corrosion from a battery terminal with a wire brush</x:v>
      </x:c>
      <x:c r="H508" t="str">
        <x:v>wire brush</x:v>
      </x:c>
      <x:c r="I508" t="str">
        <x:v>battery terminal</x:v>
      </x:c>
      <x:c r="J508" t="str">
        <x:v>Runway Gen-4.5</x:v>
      </x:c>
      <x:c r="K508" t="str">
        <x:v>Direct Natural Language</x:v>
      </x:c>
      <x:c r="L508" t="str">
        <x:v>Baseline wording only; no explicit decomposition.</x:v>
      </x:c>
      <x:c r="M508" t="str">
        <x:v>Close-up realistic instructional DIY video: clean corrosion from a battery terminal with a wire brush. Show wire brush working on battery terminal. Hands visible, stable camera, no text overlay, neutral shop lighting.</x:v>
      </x:c>
      <x:c r="N508" s="14" t="n">
        <x:v>5</x:v>
      </x:c>
      <x:c r="O508" s="14" t="n">
        <x:v>100852</x:v>
      </x:c>
      <x:c r="P508" t="str">
        <x:v>R-D</x:v>
      </x:c>
      <x:c r="Q508" s="12" t="n">
        <x:v>3.09</x:v>
      </x:c>
      <x:c r="R508" s="12" t="n">
        <x:v>3.33</x:v>
      </x:c>
      <x:c r="S508" s="12" t="n">
        <x:v>3.74</x:v>
      </x:c>
      <x:c r="T508" s="12" t="n">
        <x:v>4.26</x:v>
      </x:c>
      <x:c r="U508" s="12" t="n">
        <x:v>3.69</x:v>
      </x:c>
      <x:c r="V508" s="12" t="n">
        <x:v>3.65</x:v>
      </x:c>
      <x:c r="W508" s="12" t="n">
        <x:f>ROUND((Q508*0.24)+(R508*0.22)+(S508*0.16)+(T508*0.18)+(U508*0.10)+(V508*0.10),2)</x:f>
        <x:v>3.57</x:v>
      </x:c>
      <x:c r="X508" t="str">
        <x:f>IF(W508&gt;=3.55,"Pass","Fail")</x:f>
        <x:v>Pass</x:v>
      </x:c>
      <x:c r="Y508" t="str">
        <x:v>force/torque reads wrong</x:v>
      </x:c>
      <x:c r="Z508" t="str">
        <x:v>Rater note: I would keep this as a rough candidate. It communicates the step, although the failure mode makes it weaker than a real sourced clip: force/torque reads wrong. I would keep the same camera angle but ask for a tighter view of the contact point. The baseline prompt is likely under-specifying the tool path.</x:v>
      </x:c>
      <x:c r="AA508" t="str">
        <x:v>Ask for a static close-up and require the wire brush to touch the battery terminal before any motion starts.</x:v>
      </x:c>
      <x:c r="AB508" t="str">
        <x:v>Medium</x:v>
      </x:c>
      <x:c r="AC508" t="str"/>
      <x:c r="AD508" t="str">
        <x:v>Synthetic benchmark entry; generated clip URL should be filled after API run.</x:v>
      </x:c>
    </x:row>
    <x:row r="509">
      <x:c r="A509" t="str">
        <x:v>S085-Kling-DIR</x:v>
      </x:c>
      <x:c r="B509" t="str">
        <x:v>S085</x:v>
      </x:c>
      <x:c r="C509" t="str">
        <x:v>Automotive</x:v>
      </x:c>
      <x:c r="D509" t="str">
        <x:v>battery</x:v>
      </x:c>
      <x:c r="E509" t="str">
        <x:v>cleaning</x:v>
      </x:c>
      <x:c r="F509" t="n">
        <x:v>3</x:v>
      </x:c>
      <x:c r="G509" t="str">
        <x:v>clean corrosion from a battery terminal with a wire brush</x:v>
      </x:c>
      <x:c r="H509" t="str">
        <x:v>wire brush</x:v>
      </x:c>
      <x:c r="I509" t="str">
        <x:v>battery terminal</x:v>
      </x:c>
      <x:c r="J509" t="str">
        <x:v>Kling v3.0 (Replicate)</x:v>
      </x:c>
      <x:c r="K509" t="str">
        <x:v>Direct Natural Language</x:v>
      </x:c>
      <x:c r="L509" t="str">
        <x:v>Baseline wording only; no explicit decomposition.</x:v>
      </x:c>
      <x:c r="M509" t="str">
        <x:v>Close-up realistic instructional DIY video: clean corrosion from a battery terminal with a wire brush. Show wire brush working on battery terminal. Hands visible, stable camera, no text overlay, neutral shop lighting.</x:v>
      </x:c>
      <x:c r="N509" s="14" t="n">
        <x:v>10</x:v>
      </x:c>
      <x:c r="O509" s="14" t="n">
        <x:v>100853</x:v>
      </x:c>
      <x:c r="P509" t="str">
        <x:v>R-A</x:v>
      </x:c>
      <x:c r="Q509" s="12" t="n">
        <x:v>3.66</x:v>
      </x:c>
      <x:c r="R509" s="12" t="n">
        <x:v>3.1</x:v>
      </x:c>
      <x:c r="S509" s="12" t="n">
        <x:v>4</x:v>
      </x:c>
      <x:c r="T509" s="12" t="n">
        <x:v>3.74</x:v>
      </x:c>
      <x:c r="U509" s="12" t="n">
        <x:v>3.72</x:v>
      </x:c>
      <x:c r="V509" s="12" t="n">
        <x:v>3.17</x:v>
      </x:c>
      <x:c r="W509" s="12" t="n">
        <x:f>ROUND((Q509*0.24)+(R509*0.22)+(S509*0.16)+(T509*0.18)+(U509*0.10)+(V509*0.10),2)</x:f>
        <x:v>3.56</x:v>
      </x:c>
      <x:c r="X509" t="str">
        <x:f>IF(W509&gt;=3.55,"Pass","Fail")</x:f>
        <x:v>Pass</x:v>
      </x:c>
      <x:c r="Y509" t="str">
        <x:v>action starts too late</x:v>
      </x:c>
      <x:c r="Z509" t="str">
        <x:v>Review note: Usable, but I would not show it without review. The wire brush is recognizable, yet the exact contact point is hard to see when the hand crosses the frame. The mistake appears late, so a simple thumbnail review would probably miss it. The baseline prompt is likely under-specifying the tool path.</x:v>
      </x:c>
      <x:c r="AA509" t="str">
        <x:v>Break the action into start, contact, movement, and finish; ban extra tools and hand morphing.</x:v>
      </x:c>
      <x:c r="AB509" t="str">
        <x:v>Medium-High</x:v>
      </x:c>
      <x:c r="AC509" t="str"/>
      <x:c r="AD509" t="str">
        <x:v>Planning dataset only; scores are plausible placeholders, not vendor claims.</x:v>
      </x:c>
    </x:row>
    <x:row r="510">
      <x:c r="A510" t="str">
        <x:v>S085-Pika-DIR</x:v>
      </x:c>
      <x:c r="B510" t="str">
        <x:v>S085</x:v>
      </x:c>
      <x:c r="C510" t="str">
        <x:v>Automotive</x:v>
      </x:c>
      <x:c r="D510" t="str">
        <x:v>battery</x:v>
      </x:c>
      <x:c r="E510" t="str">
        <x:v>cleaning</x:v>
      </x:c>
      <x:c r="F510" t="n">
        <x:v>3</x:v>
      </x:c>
      <x:c r="G510" t="str">
        <x:v>clean corrosion from a battery terminal with a wire brush</x:v>
      </x:c>
      <x:c r="H510" t="str">
        <x:v>wire brush</x:v>
      </x:c>
      <x:c r="I510" t="str">
        <x:v>battery terminal</x:v>
      </x:c>
      <x:c r="J510" t="str">
        <x:v>Pika 2.2</x:v>
      </x:c>
      <x:c r="K510" t="str">
        <x:v>Direct Natural Language</x:v>
      </x:c>
      <x:c r="L510" t="str">
        <x:v>Baseline wording only; no explicit decomposition.</x:v>
      </x:c>
      <x:c r="M510" t="str">
        <x:v>Close-up realistic instructional DIY video: clean corrosion from a battery terminal with a wire brush. Show wire brush working on battery terminal. Hands visible, stable camera, no text overlay, neutral shop lighting.</x:v>
      </x:c>
      <x:c r="N510" s="14" t="n">
        <x:v>5</x:v>
      </x:c>
      <x:c r="O510" s="14" t="n">
        <x:v>100854</x:v>
      </x:c>
      <x:c r="P510" t="str">
        <x:v>R-A</x:v>
      </x:c>
      <x:c r="Q510" s="12" t="n">
        <x:v>3.48</x:v>
      </x:c>
      <x:c r="R510" s="12" t="n">
        <x:v>3.42</x:v>
      </x:c>
      <x:c r="S510" s="12" t="n">
        <x:v>2.71</x:v>
      </x:c>
      <x:c r="T510" s="12" t="n">
        <x:v>3.52</x:v>
      </x:c>
      <x:c r="U510" s="12" t="n">
        <x:v>3.04</x:v>
      </x:c>
      <x:c r="V510" s="12" t="n">
        <x:v>2.98</x:v>
      </x:c>
      <x:c r="W510" s="12" t="n">
        <x:f>ROUND((Q510*0.24)+(R510*0.22)+(S510*0.16)+(T510*0.18)+(U510*0.10)+(V510*0.10),2)</x:f>
        <x:v>3.26</x:v>
      </x:c>
      <x:c r="X510" t="str">
        <x:f>IF(W510&gt;=3.55,"Pass","Fail")</x:f>
        <x:v>Fail</x:v>
      </x:c>
      <x:c r="Y510" t="str">
        <x:v>sequence reversed</x:v>
      </x:c>
      <x:c r="Z510" t="str">
        <x:v>QA note: This should fail the instructional bar. The model gestures toward the task, but the failure mode prevents a learner from trusting the technique: sequence reversed. The mistake appears late, so a simple thumbnail review would probably miss it. The baseline prompt is likely under-specifying the tool path.</x:v>
      </x:c>
      <x:c r="AA510" t="str">
        <x:v>Use a reference image for the wire brush and specify its grip/orientation in plain language.</x:v>
      </x:c>
      <x:c r="AB510" t="str">
        <x:v>Medium-High</x:v>
      </x:c>
      <x:c r="AC510" t="str"/>
      <x:c r="AD510" t="str">
        <x:v>Mock rater record for experiment design; audit against real video outputs before publication.</x:v>
      </x:c>
    </x:row>
    <x:row r="511">
      <x:c r="A511" t="str">
        <x:v>S085-Vidu-DIR</x:v>
      </x:c>
      <x:c r="B511" t="str">
        <x:v>S085</x:v>
      </x:c>
      <x:c r="C511" t="str">
        <x:v>Automotive</x:v>
      </x:c>
      <x:c r="D511" t="str">
        <x:v>battery</x:v>
      </x:c>
      <x:c r="E511" t="str">
        <x:v>cleaning</x:v>
      </x:c>
      <x:c r="F511" t="n">
        <x:v>3</x:v>
      </x:c>
      <x:c r="G511" t="str">
        <x:v>clean corrosion from a battery terminal with a wire brush</x:v>
      </x:c>
      <x:c r="H511" t="str">
        <x:v>wire brush</x:v>
      </x:c>
      <x:c r="I511" t="str">
        <x:v>battery terminal</x:v>
      </x:c>
      <x:c r="J511" t="str">
        <x:v>Vidu 2.0</x:v>
      </x:c>
      <x:c r="K511" t="str">
        <x:v>Direct Natural Language</x:v>
      </x:c>
      <x:c r="L511" t="str">
        <x:v>Baseline wording only; no explicit decomposition.</x:v>
      </x:c>
      <x:c r="M511" t="str">
        <x:v>Close-up realistic instructional DIY video: clean corrosion from a battery terminal with a wire brush. Show wire brush working on battery terminal. Hands visible, stable camera, no text overlay, neutral shop lighting.</x:v>
      </x:c>
      <x:c r="N511" s="14" t="n">
        <x:v>5</x:v>
      </x:c>
      <x:c r="O511" s="14" t="n">
        <x:v>100855</x:v>
      </x:c>
      <x:c r="P511" t="str">
        <x:v>R-E</x:v>
      </x:c>
      <x:c r="Q511" s="12" t="n">
        <x:v>3.1</x:v>
      </x:c>
      <x:c r="R511" s="12" t="n">
        <x:v>3.62</x:v>
      </x:c>
      <x:c r="S511" s="12" t="n">
        <x:v>3.6</x:v>
      </x:c>
      <x:c r="T511" s="12" t="n">
        <x:v>2.75</x:v>
      </x:c>
      <x:c r="U511" s="12" t="n">
        <x:v>3.19</x:v>
      </x:c>
      <x:c r="V511" s="12" t="n">
        <x:v>3.18</x:v>
      </x:c>
      <x:c r="W511" s="12" t="n">
        <x:f>ROUND((Q511*0.24)+(R511*0.22)+(S511*0.16)+(T511*0.18)+(U511*0.10)+(V511*0.10),2)</x:f>
        <x:v>3.25</x:v>
      </x:c>
      <x:c r="X511" t="str">
        <x:f>IF(W511&gt;=3.55,"Pass","Fail")</x:f>
        <x:v>Fail</x:v>
      </x:c>
      <x:c r="Y511" t="str">
        <x:v>object morphs</x:v>
      </x:c>
      <x:c r="Z511" t="str">
        <x:v>Clip review: The generated clip loses the procedure. I would re-run with a reference frame and a stricter Action-Object-Tool prompt. I would keep the same camera angle but ask for a tighter view of the contact point. The baseline prompt is likely under-specifying the tool path.</x:v>
      </x:c>
      <x:c r="AA511" t="str">
        <x:v>Use a reference image for the wire brush and specify its grip/orientation in plain language.</x:v>
      </x:c>
      <x:c r="AB511" t="str">
        <x:v>Medium-High</x:v>
      </x:c>
      <x:c r="AC511" t="str"/>
      <x:c r="AD511" t="str">
        <x:v>Simulated pilot row for planning; replace with blinded ratings after generating actual clips.</x:v>
      </x:c>
    </x:row>
    <x:row r="512">
      <x:c r="A512" t="str">
        <x:v>S086-Veo-STR</x:v>
      </x:c>
      <x:c r="B512" t="str">
        <x:v>S086</x:v>
      </x:c>
      <x:c r="C512" t="str">
        <x:v>Automotive</x:v>
      </x:c>
      <x:c r="D512" t="str">
        <x:v>lighting</x:v>
      </x:c>
      <x:c r="E512" t="str">
        <x:v>replacing</x:v>
      </x:c>
      <x:c r="F512" t="n">
        <x:v>3</x:v>
      </x:c>
      <x:c r="G512" t="str">
        <x:v>twist out a tail light bulb socket from the housing</x:v>
      </x:c>
      <x:c r="H512" t="str">
        <x:v>hand only</x:v>
      </x:c>
      <x:c r="I512" t="str">
        <x:v>tail light bulb socket</x:v>
      </x:c>
      <x:c r="J512" t="str">
        <x:v>Veo 3.1</x:v>
      </x:c>
      <x:c r="K512" t="str">
        <x:v>Structured Action-Object-Tool</x:v>
      </x:c>
      <x:c r="L512" t="str">
        <x:v>Action, tool, object, grip, contact point, start/end states.</x:v>
      </x:c>
      <x:c r="M512" t="str">
        <x:v>Close-up realistic instructional DIY video: twist out a tail light bulb socket from the housing. Show hand only working on tail light bulb socket. Hands visible, stable camera, no text overlay, neutral shop lighting. Action=replacing; tool=hand only; object/material=tail light bulb socket; show tool-to-object contact; start state, motion, and finished state all visible.</x:v>
      </x:c>
      <x:c r="N512" s="14" t="n">
        <x:v>8</x:v>
      </x:c>
      <x:c r="O512" s="14" t="n">
        <x:v>100860</x:v>
      </x:c>
      <x:c r="P512" t="str">
        <x:v>R-B</x:v>
      </x:c>
      <x:c r="Q512" s="12" t="n">
        <x:v>4.17</x:v>
      </x:c>
      <x:c r="R512" s="12" t="n">
        <x:v>5</x:v>
      </x:c>
      <x:c r="S512" s="12" t="n">
        <x:v>4.18</x:v>
      </x:c>
      <x:c r="T512" s="12" t="n">
        <x:v>4.1</x:v>
      </x:c>
      <x:c r="U512" s="12" t="n">
        <x:v>4</x:v>
      </x:c>
      <x:c r="V512" s="12" t="n">
        <x:v>3.96</x:v>
      </x:c>
      <x:c r="W512" s="12" t="n">
        <x:f>ROUND((Q512*0.24)+(R512*0.22)+(S512*0.16)+(T512*0.18)+(U512*0.10)+(V512*0.10),2)</x:f>
        <x:v>4.3</x:v>
      </x:c>
      <x:c r="X512" t="str">
        <x:f>IF(W512&gt;=3.55,"Pass","Fail")</x:f>
        <x:v>Pass</x:v>
      </x:c>
      <x:c r="Y512" t="str">
        <x:v>tool pose a little soft</x:v>
      </x:c>
      <x:c r="Z512" t="str">
        <x:v>Clip review: Clear enough for a learner. The workpiece does not wander and the camera stays on the tail light bulb socket; I would still add a freeze or caption after generation. On a small preview it might pass, but full-screen review exposes the issue. For this automotive example, the main judgment is still whether the viewer can copy the motion.</x:v>
      </x:c>
      <x:c r="AA512" t="str">
        <x:v>Break the action into start, contact, movement, and finish; ban extra tools and hand morphing.</x:v>
      </x:c>
      <x:c r="AB512" t="str">
        <x:v>High</x:v>
      </x:c>
      <x:c r="AC512" t="str"/>
      <x:c r="AD512" t="str">
        <x:v>Planning dataset only; scores are plausible placeholders, not vendor claims.</x:v>
      </x:c>
    </x:row>
    <x:row r="513">
      <x:c r="A513" t="str">
        <x:v>S086-Sora-STR</x:v>
      </x:c>
      <x:c r="B513" t="str">
        <x:v>S086</x:v>
      </x:c>
      <x:c r="C513" t="str">
        <x:v>Automotive</x:v>
      </x:c>
      <x:c r="D513" t="str">
        <x:v>lighting</x:v>
      </x:c>
      <x:c r="E513" t="str">
        <x:v>replacing</x:v>
      </x:c>
      <x:c r="F513" t="n">
        <x:v>3</x:v>
      </x:c>
      <x:c r="G513" t="str">
        <x:v>twist out a tail light bulb socket from the housing</x:v>
      </x:c>
      <x:c r="H513" t="str">
        <x:v>hand only</x:v>
      </x:c>
      <x:c r="I513" t="str">
        <x:v>tail light bulb socket</x:v>
      </x:c>
      <x:c r="J513" t="str">
        <x:v>Sora 2 Pro</x:v>
      </x:c>
      <x:c r="K513" t="str">
        <x:v>Structured Action-Object-Tool</x:v>
      </x:c>
      <x:c r="L513" t="str">
        <x:v>Action, tool, object, grip, contact point, start/end states.</x:v>
      </x:c>
      <x:c r="M513" t="str">
        <x:v>Close-up realistic instructional DIY video: twist out a tail light bulb socket from the housing. Show hand only working on tail light bulb socket. Hands visible, stable camera, no text overlay, neutral shop lighting. Action=replacing; tool=hand only; object/material=tail light bulb socket; show tool-to-object contact; start state, motion, and finished state all visible.</x:v>
      </x:c>
      <x:c r="N513" s="14" t="n">
        <x:v>8</x:v>
      </x:c>
      <x:c r="O513" s="14" t="n">
        <x:v>100861</x:v>
      </x:c>
      <x:c r="P513" t="str">
        <x:v>R-D</x:v>
      </x:c>
      <x:c r="Q513" s="12" t="n">
        <x:v>4.06</x:v>
      </x:c>
      <x:c r="R513" s="12" t="n">
        <x:v>4.8</x:v>
      </x:c>
      <x:c r="S513" s="12" t="n">
        <x:v>4.36</x:v>
      </x:c>
      <x:c r="T513" s="12" t="n">
        <x:v>4.72</x:v>
      </x:c>
      <x:c r="U513" s="12" t="n">
        <x:v>2.98</x:v>
      </x:c>
      <x:c r="V513" s="12" t="n">
        <x:v>3.84</x:v>
      </x:c>
      <x:c r="W513" s="12" t="n">
        <x:f>ROUND((Q513*0.24)+(R513*0.22)+(S513*0.16)+(T513*0.18)+(U513*0.10)+(V513*0.10),2)</x:f>
        <x:v>4.26</x:v>
      </x:c>
      <x:c r="X513" t="str">
        <x:f>IF(W513&gt;=3.55,"Pass","Fail")</x:f>
        <x:v>Pass</x:v>
      </x:c>
      <x:c r="Y513" t="str">
        <x:v>motion slightly compressed</x:v>
      </x:c>
      <x:c r="Z513" t="str">
        <x:v>Clip review: Best part is the pacing: it gives enough time to understand replacing without turning into a beauty shot. Minor issue: overly cinematic framing. The mistake appears late, so a simple thumbnail review would probably miss it. For this automotive example, the main judgment is still whether the viewer can copy the motion.</x:v>
      </x:c>
      <x:c r="AA513" t="str">
        <x:v>Specify the exact contact point and do not allow the hand to cover it.</x:v>
      </x:c>
      <x:c r="AB513" t="str">
        <x:v>High</x:v>
      </x:c>
      <x:c r="AC513" t="str"/>
      <x:c r="AD513" t="str">
        <x:v>Mock rater record for experiment design; audit against real video outputs before publication.</x:v>
      </x:c>
    </x:row>
    <x:row r="514">
      <x:c r="A514" t="str">
        <x:v>S086-Runway-STR</x:v>
      </x:c>
      <x:c r="B514" t="str">
        <x:v>S086</x:v>
      </x:c>
      <x:c r="C514" t="str">
        <x:v>Automotive</x:v>
      </x:c>
      <x:c r="D514" t="str">
        <x:v>lighting</x:v>
      </x:c>
      <x:c r="E514" t="str">
        <x:v>replacing</x:v>
      </x:c>
      <x:c r="F514" t="n">
        <x:v>3</x:v>
      </x:c>
      <x:c r="G514" t="str">
        <x:v>twist out a tail light bulb socket from the housing</x:v>
      </x:c>
      <x:c r="H514" t="str">
        <x:v>hand only</x:v>
      </x:c>
      <x:c r="I514" t="str">
        <x:v>tail light bulb socket</x:v>
      </x:c>
      <x:c r="J514" t="str">
        <x:v>Runway Gen-4.5</x:v>
      </x:c>
      <x:c r="K514" t="str">
        <x:v>Structured Action-Object-Tool</x:v>
      </x:c>
      <x:c r="L514" t="str">
        <x:v>Action, tool, object, grip, contact point, start/end states.</x:v>
      </x:c>
      <x:c r="M514" t="str">
        <x:v>Close-up realistic instructional DIY video: twist out a tail light bulb socket from the housing. Show hand only working on tail light bulb socket. Hands visible, stable camera, no text overlay, neutral shop lighting. Action=replacing; tool=hand only; object/material=tail light bulb socket; show tool-to-object contact; start state, motion, and finished state all visible.</x:v>
      </x:c>
      <x:c r="N514" s="14" t="n">
        <x:v>5</x:v>
      </x:c>
      <x:c r="O514" s="14" t="n">
        <x:v>100862</x:v>
      </x:c>
      <x:c r="P514" t="str">
        <x:v>R-C</x:v>
      </x:c>
      <x:c r="Q514" s="12" t="n">
        <x:v>4.35</x:v>
      </x:c>
      <x:c r="R514" s="12" t="n">
        <x:v>4.28</x:v>
      </x:c>
      <x:c r="S514" s="12" t="n">
        <x:v>4.51</x:v>
      </x:c>
      <x:c r="T514" s="12" t="n">
        <x:v>4.04</x:v>
      </x:c>
      <x:c r="U514" s="12" t="n">
        <x:v>3.72</x:v>
      </x:c>
      <x:c r="V514" s="12" t="n">
        <x:v>3.87</x:v>
      </x:c>
      <x:c r="W514" s="12" t="n">
        <x:f>ROUND((Q514*0.24)+(R514*0.22)+(S514*0.16)+(T514*0.18)+(U514*0.10)+(V514*0.10),2)</x:f>
        <x:v>4.19</x:v>
      </x:c>
      <x:c r="X514" t="str">
        <x:f>IF(W514&gt;=3.55,"Pass","Fail")</x:f>
        <x:v>Pass</x:v>
      </x:c>
      <x:c r="Y514" t="str">
        <x:v>tool pose a little soft</x:v>
      </x:c>
      <x:c r="Z514" t="str">
        <x:v>Human check: This one would probably pass a quick review. The hand only stays believable, the start and end states are easy to read, and the only nit is that short clip compresses the final step. This reads better as a teaser than as an instructional clip. For this automotive example, the main judgment is still whether the viewer can copy the motion.</x:v>
      </x:c>
      <x:c r="AA514" t="str">
        <x:v>Use sequential context only for continuity, not for adding previous/next steps into the frame.</x:v>
      </x:c>
      <x:c r="AB514" t="str">
        <x:v>High</x:v>
      </x:c>
      <x:c r="AC514" t="str"/>
      <x:c r="AD514" t="str">
        <x:v>Planning dataset only; scores are plausible placeholders, not vendor claims.</x:v>
      </x:c>
    </x:row>
    <x:row r="515">
      <x:c r="A515" t="str">
        <x:v>S086-Kling-STR</x:v>
      </x:c>
      <x:c r="B515" t="str">
        <x:v>S086</x:v>
      </x:c>
      <x:c r="C515" t="str">
        <x:v>Automotive</x:v>
      </x:c>
      <x:c r="D515" t="str">
        <x:v>lighting</x:v>
      </x:c>
      <x:c r="E515" t="str">
        <x:v>replacing</x:v>
      </x:c>
      <x:c r="F515" t="n">
        <x:v>3</x:v>
      </x:c>
      <x:c r="G515" t="str">
        <x:v>twist out a tail light bulb socket from the housing</x:v>
      </x:c>
      <x:c r="H515" t="str">
        <x:v>hand only</x:v>
      </x:c>
      <x:c r="I515" t="str">
        <x:v>tail light bulb socket</x:v>
      </x:c>
      <x:c r="J515" t="str">
        <x:v>Kling v3.0 (Replicate)</x:v>
      </x:c>
      <x:c r="K515" t="str">
        <x:v>Structured Action-Object-Tool</x:v>
      </x:c>
      <x:c r="L515" t="str">
        <x:v>Action, tool, object, grip, contact point, start/end states.</x:v>
      </x:c>
      <x:c r="M515" t="str">
        <x:v>Close-up realistic instructional DIY video: twist out a tail light bulb socket from the housing. Show hand only working on tail light bulb socket. Hands visible, stable camera, no text overlay, neutral shop lighting. Action=replacing; tool=hand only; object/material=tail light bulb socket; show tool-to-object contact; start state, motion, and finished state all visible.</x:v>
      </x:c>
      <x:c r="N515" s="14" t="n">
        <x:v>10</x:v>
      </x:c>
      <x:c r="O515" s="14" t="n">
        <x:v>100863</x:v>
      </x:c>
      <x:c r="P515" t="str">
        <x:v>R-B</x:v>
      </x:c>
      <x:c r="Q515" s="12" t="n">
        <x:v>3.73</x:v>
      </x:c>
      <x:c r="R515" s="12" t="n">
        <x:v>4.27</x:v>
      </x:c>
      <x:c r="S515" s="12" t="n">
        <x:v>3.94</x:v>
      </x:c>
      <x:c r="T515" s="12" t="n">
        <x:v>3.76</x:v>
      </x:c>
      <x:c r="U515" s="12" t="n">
        <x:v>3.04</x:v>
      </x:c>
      <x:c r="V515" s="12" t="n">
        <x:v>3.72</x:v>
      </x:c>
      <x:c r="W515" s="12" t="n">
        <x:f>ROUND((Q515*0.24)+(R515*0.22)+(S515*0.16)+(T515*0.18)+(U515*0.10)+(V515*0.10),2)</x:f>
        <x:v>3.82</x:v>
      </x:c>
      <x:c r="X515" t="str">
        <x:f>IF(W515&gt;=3.55,"Pass","Fail")</x:f>
        <x:v>Pass</x:v>
      </x:c>
      <x:c r="Y515" t="str">
        <x:v>thread direction unclear</x:v>
      </x:c>
      <x:c r="Z515" t="str">
        <x:v>QA note: Usable, but I would not show it without review. The hand only is recognizable, yet the exact contact point is hard to see when the hand crosses the frame. I would keep the same camera angle but ask for a tighter view of the contact point. For this automotive example, the main judgment is still whether the viewer can copy the motion.</x:v>
      </x:c>
      <x:c r="AA515" t="str">
        <x:v>Use a reference image for the hand only and specify its grip/orientation in plain language.</x:v>
      </x:c>
      <x:c r="AB515" t="str">
        <x:v>Medium-High</x:v>
      </x:c>
      <x:c r="AC515" t="str"/>
      <x:c r="AD515" t="str">
        <x:v>Synthetic benchmark entry; generated clip URL should be filled after API run.</x:v>
      </x:c>
    </x:row>
    <x:row r="516">
      <x:c r="A516" t="str">
        <x:v>S086-Pika-STR</x:v>
      </x:c>
      <x:c r="B516" t="str">
        <x:v>S086</x:v>
      </x:c>
      <x:c r="C516" t="str">
        <x:v>Automotive</x:v>
      </x:c>
      <x:c r="D516" t="str">
        <x:v>lighting</x:v>
      </x:c>
      <x:c r="E516" t="str">
        <x:v>replacing</x:v>
      </x:c>
      <x:c r="F516" t="n">
        <x:v>3</x:v>
      </x:c>
      <x:c r="G516" t="str">
        <x:v>twist out a tail light bulb socket from the housing</x:v>
      </x:c>
      <x:c r="H516" t="str">
        <x:v>hand only</x:v>
      </x:c>
      <x:c r="I516" t="str">
        <x:v>tail light bulb socket</x:v>
      </x:c>
      <x:c r="J516" t="str">
        <x:v>Pika 2.2</x:v>
      </x:c>
      <x:c r="K516" t="str">
        <x:v>Structured Action-Object-Tool</x:v>
      </x:c>
      <x:c r="L516" t="str">
        <x:v>Action, tool, object, grip, contact point, start/end states.</x:v>
      </x:c>
      <x:c r="M516" t="str">
        <x:v>Close-up realistic instructional DIY video: twist out a tail light bulb socket from the housing. Show hand only working on tail light bulb socket. Hands visible, stable camera, no text overlay, neutral shop lighting. Action=replacing; tool=hand only; object/material=tail light bulb socket; show tool-to-object contact; start state, motion, and finished state all visible.</x:v>
      </x:c>
      <x:c r="N516" s="14" t="n">
        <x:v>5</x:v>
      </x:c>
      <x:c r="O516" s="14" t="n">
        <x:v>100864</x:v>
      </x:c>
      <x:c r="P516" t="str">
        <x:v>R-C</x:v>
      </x:c>
      <x:c r="Q516" s="12" t="n">
        <x:v>3.26</x:v>
      </x:c>
      <x:c r="R516" s="12" t="n">
        <x:v>3.91</x:v>
      </x:c>
      <x:c r="S516" s="12" t="n">
        <x:v>3.51</x:v>
      </x:c>
      <x:c r="T516" s="12" t="n">
        <x:v>4.03</x:v>
      </x:c>
      <x:c r="U516" s="12" t="n">
        <x:v>3.54</x:v>
      </x:c>
      <x:c r="V516" s="12" t="n">
        <x:v>3.5</x:v>
      </x:c>
      <x:c r="W516" s="12" t="n">
        <x:f>ROUND((Q516*0.24)+(R516*0.22)+(S516*0.16)+(T516*0.18)+(U516*0.10)+(V516*0.10),2)</x:f>
        <x:v>3.63</x:v>
      </x:c>
      <x:c r="X516" t="str">
        <x:f>IF(W516&gt;=3.55,"Pass","Fail")</x:f>
        <x:v>Pass</x:v>
      </x:c>
      <x:c r="Y516" t="str">
        <x:v>force/torque reads wrong</x:v>
      </x:c>
      <x:c r="Z516" t="str">
        <x:v>Clip review: The intention is clear, especially if you already know the step. A novice might miss the key detail because this issue appears right where the action should be most explicit: force/torque reads wrong. The next prompt should slow the final second instead of adding more scene detail. For this automotive example, the main judgment is still whether the viewer can copy the motion.</x:v>
      </x:c>
      <x:c r="AA516" t="str">
        <x:v>Specify the exact contact point and do not allow the hand to cover it.</x:v>
      </x:c>
      <x:c r="AB516" t="str">
        <x:v>Medium</x:v>
      </x:c>
      <x:c r="AC516" t="str"/>
      <x:c r="AD516" t="str">
        <x:v>Simulated pilot row for planning; replace with blinded ratings after generating actual clips.</x:v>
      </x:c>
    </x:row>
    <x:row r="517">
      <x:c r="A517" t="str">
        <x:v>S086-Vidu-STR</x:v>
      </x:c>
      <x:c r="B517" t="str">
        <x:v>S086</x:v>
      </x:c>
      <x:c r="C517" t="str">
        <x:v>Automotive</x:v>
      </x:c>
      <x:c r="D517" t="str">
        <x:v>lighting</x:v>
      </x:c>
      <x:c r="E517" t="str">
        <x:v>replacing</x:v>
      </x:c>
      <x:c r="F517" t="n">
        <x:v>3</x:v>
      </x:c>
      <x:c r="G517" t="str">
        <x:v>twist out a tail light bulb socket from the housing</x:v>
      </x:c>
      <x:c r="H517" t="str">
        <x:v>hand only</x:v>
      </x:c>
      <x:c r="I517" t="str">
        <x:v>tail light bulb socket</x:v>
      </x:c>
      <x:c r="J517" t="str">
        <x:v>Vidu 2.0</x:v>
      </x:c>
      <x:c r="K517" t="str">
        <x:v>Structured Action-Object-Tool</x:v>
      </x:c>
      <x:c r="L517" t="str">
        <x:v>Action, tool, object, grip, contact point, start/end states.</x:v>
      </x:c>
      <x:c r="M517" t="str">
        <x:v>Close-up realistic instructional DIY video: twist out a tail light bulb socket from the housing. Show hand only working on tail light bulb socket. Hands visible, stable camera, no text overlay, neutral shop lighting. Action=replacing; tool=hand only; object/material=tail light bulb socket; show tool-to-object contact; start state, motion, and finished state all visible.</x:v>
      </x:c>
      <x:c r="N517" s="14" t="n">
        <x:v>5</x:v>
      </x:c>
      <x:c r="O517" s="14" t="n">
        <x:v>100865</x:v>
      </x:c>
      <x:c r="P517" t="str">
        <x:v>R-E</x:v>
      </x:c>
      <x:c r="Q517" s="12" t="n">
        <x:v>3.4</x:v>
      </x:c>
      <x:c r="R517" s="12" t="n">
        <x:v>3.49</x:v>
      </x:c>
      <x:c r="S517" s="12" t="n">
        <x:v>3.77</x:v>
      </x:c>
      <x:c r="T517" s="12" t="n">
        <x:v>3.52</x:v>
      </x:c>
      <x:c r="U517" s="12" t="n">
        <x:v>2.82</x:v>
      </x:c>
      <x:c r="V517" s="12" t="n">
        <x:v>3.14</x:v>
      </x:c>
      <x:c r="W517" s="12" t="n">
        <x:f>ROUND((Q517*0.24)+(R517*0.22)+(S517*0.16)+(T517*0.18)+(U517*0.10)+(V517*0.10),2)</x:f>
        <x:v>3.42</x:v>
      </x:c>
      <x:c r="X517" t="str">
        <x:f>IF(W517&gt;=3.55,"Pass","Fail")</x:f>
        <x:v>Fail</x:v>
      </x:c>
      <x:c r="Y517" t="str">
        <x:v>material looks wrong</x:v>
      </x:c>
      <x:c r="Z517" t="str">
        <x:v>QA note: Too much is being implied. The hand only and tail light bulb socket are in the scene, but the motion does not demonstrate the actual repair step. The prompt should prioritize hand path over cinematic lighting. For this automotive example, the main judgment is still whether the viewer can copy the motion.</x:v>
      </x:c>
      <x:c r="AA517" t="str">
        <x:v>Break the action into start, contact, movement, and finish; ban extra tools and hand morphing.</x:v>
      </x:c>
      <x:c r="AB517" t="str">
        <x:v>High</x:v>
      </x:c>
      <x:c r="AC517" t="str"/>
      <x:c r="AD517" t="str">
        <x:v>Mock rater record for experiment design; audit against real video outputs before publication.</x:v>
      </x:c>
    </x:row>
    <x:row r="518">
      <x:c r="A518" t="str">
        <x:v>S087-Veo-MET</x:v>
      </x:c>
      <x:c r="B518" t="str">
        <x:v>S087</x:v>
      </x:c>
      <x:c r="C518" t="str">
        <x:v>Automotive</x:v>
      </x:c>
      <x:c r="D518" t="str">
        <x:v>wipers</x:v>
      </x:c>
      <x:c r="E518" t="str">
        <x:v>replacing</x:v>
      </x:c>
      <x:c r="F518" t="n">
        <x:v>2</x:v>
      </x:c>
      <x:c r="G518" t="str">
        <x:v>slide a wiper blade hook adapter off the arm</x:v>
      </x:c>
      <x:c r="H518" t="str">
        <x:v>wiper blade</x:v>
      </x:c>
      <x:c r="I518" t="str">
        <x:v>wiper arm hook</x:v>
      </x:c>
      <x:c r="J518" t="str">
        <x:v>Veo 3.1</x:v>
      </x:c>
      <x:c r="K518" t="str">
        <x:v>Metadata-Enriched</x:v>
      </x:c>
      <x:c r="L518" t="str">
        <x:v>Uses clipDescription, clipSummary, toolNames, suppliesNames, processTechniques, safetyEquipment.</x:v>
      </x:c>
      <x:c r="M518" t="str">
        <x:v>Close-up realistic instructional DIY video: slide a wiper blade hook adapter off the arm. Show wiper blade working on wiper arm hook. Hands visible, stable camera, no text overlay, neutral shop lighting. clipDescription='slide a wiper blade hook adapter off the arm'. clipSummary='one practical repair step'. toolNames='wiper blade'. suppliesNames='wiper arm hook'. processTechnique='replacing'. Safety cue: use normal homeowner precautions and avoid risky shortcuts.</x:v>
      </x:c>
      <x:c r="N518" s="14" t="n">
        <x:v>8</x:v>
      </x:c>
      <x:c r="O518" s="14" t="n">
        <x:v>100870</x:v>
      </x:c>
      <x:c r="P518" t="str">
        <x:v>R-A</x:v>
      </x:c>
      <x:c r="Q518" s="12" t="n">
        <x:v>4</x:v>
      </x:c>
      <x:c r="R518" s="12" t="n">
        <x:v>4.2</x:v>
      </x:c>
      <x:c r="S518" s="12" t="n">
        <x:v>4.6</x:v>
      </x:c>
      <x:c r="T518" s="12" t="n">
        <x:v>4.57</x:v>
      </x:c>
      <x:c r="U518" s="12" t="n">
        <x:v>3.76</x:v>
      </x:c>
      <x:c r="V518" s="12" t="n">
        <x:v>4.16</x:v>
      </x:c>
      <x:c r="W518" s="12" t="n">
        <x:f>ROUND((Q518*0.24)+(R518*0.22)+(S518*0.16)+(T518*0.18)+(U518*0.10)+(V518*0.10),2)</x:f>
        <x:v>4.23</x:v>
      </x:c>
      <x:c r="X518" t="str">
        <x:f>IF(W518&gt;=3.55,"Pass","Fail")</x:f>
        <x:v>Pass</x:v>
      </x:c>
      <x:c r="Y518" t="str">
        <x:v>minor continuity jump</x:v>
      </x:c>
      <x:c r="Z518" t="str">
        <x:v>Human check: The clip feels like a usable shop-demo take. I can see the hand position and the wiper arm hook; it just needs a slightly longer hold on the final state. This reads better as a teaser than as an instructional clip. For this automotive example, the main judgment is still whether the viewer can copy the motion.</x:v>
      </x:c>
      <x:c r="AA518" t="str">
        <x:v>Break the action into start, contact, movement, and finish; ban extra tools and hand morphing.</x:v>
      </x:c>
      <x:c r="AB518" t="str">
        <x:v>High</x:v>
      </x:c>
      <x:c r="AC518" t="str"/>
      <x:c r="AD518" t="str">
        <x:v>Mock rater record for experiment design; audit against real video outputs before publication.</x:v>
      </x:c>
    </x:row>
    <x:row r="519">
      <x:c r="A519" t="str">
        <x:v>S087-Sora-MET</x:v>
      </x:c>
      <x:c r="B519" t="str">
        <x:v>S087</x:v>
      </x:c>
      <x:c r="C519" t="str">
        <x:v>Automotive</x:v>
      </x:c>
      <x:c r="D519" t="str">
        <x:v>wipers</x:v>
      </x:c>
      <x:c r="E519" t="str">
        <x:v>replacing</x:v>
      </x:c>
      <x:c r="F519" t="n">
        <x:v>2</x:v>
      </x:c>
      <x:c r="G519" t="str">
        <x:v>slide a wiper blade hook adapter off the arm</x:v>
      </x:c>
      <x:c r="H519" t="str">
        <x:v>wiper blade</x:v>
      </x:c>
      <x:c r="I519" t="str">
        <x:v>wiper arm hook</x:v>
      </x:c>
      <x:c r="J519" t="str">
        <x:v>Sora 2 Pro</x:v>
      </x:c>
      <x:c r="K519" t="str">
        <x:v>Metadata-Enriched</x:v>
      </x:c>
      <x:c r="L519" t="str">
        <x:v>Uses clipDescription, clipSummary, toolNames, suppliesNames, processTechniques, safetyEquipment.</x:v>
      </x:c>
      <x:c r="M519" t="str">
        <x:v>Close-up realistic instructional DIY video: slide a wiper blade hook adapter off the arm. Show wiper blade working on wiper arm hook. Hands visible, stable camera, no text overlay, neutral shop lighting. clipDescription='slide a wiper blade hook adapter off the arm'. clipSummary='one practical repair step'. toolNames='wiper blade'. suppliesNames='wiper arm hook'. processTechnique='replacing'. Safety cue: use normal homeowner precautions and avoid risky shortcuts.</x:v>
      </x:c>
      <x:c r="N519" s="14" t="n">
        <x:v>8</x:v>
      </x:c>
      <x:c r="O519" s="14" t="n">
        <x:v>100871</x:v>
      </x:c>
      <x:c r="P519" t="str">
        <x:v>R-A</x:v>
      </x:c>
      <x:c r="Q519" s="12" t="n">
        <x:v>4.19</x:v>
      </x:c>
      <x:c r="R519" s="12" t="n">
        <x:v>3.66</x:v>
      </x:c>
      <x:c r="S519" s="12" t="n">
        <x:v>4.5</x:v>
      </x:c>
      <x:c r="T519" s="12" t="n">
        <x:v>4.39</x:v>
      </x:c>
      <x:c r="U519" s="12" t="n">
        <x:v>4.26</x:v>
      </x:c>
      <x:c r="V519" s="12" t="n">
        <x:v>4.45</x:v>
      </x:c>
      <x:c r="W519" s="12" t="n">
        <x:f>ROUND((Q519*0.24)+(R519*0.22)+(S519*0.16)+(T519*0.18)+(U519*0.10)+(V519*0.10),2)</x:f>
        <x:v>4.19</x:v>
      </x:c>
      <x:c r="X519" t="str">
        <x:f>IF(W519&gt;=3.55,"Pass","Fail")</x:f>
        <x:v>Pass</x:v>
      </x:c>
      <x:c r="Y519" t="str">
        <x:v>motion slightly compressed</x:v>
      </x:c>
      <x:c r="Z519" t="str">
        <x:v>Clip review: The clip feels like a usable shop-demo take. I can see the hand position and the wiper arm hook; it just needs a slightly longer hold on the final state. I marked it down for the key moment rather than the opening setup. For this automotive example, the main judgment is still whether the viewer can copy the motion.</x:v>
      </x:c>
      <x:c r="AA519" t="str">
        <x:v>Ask for a static close-up and require the wiper blade to touch the wiper arm hook before any motion starts.</x:v>
      </x:c>
      <x:c r="AB519" t="str">
        <x:v>Medium-High</x:v>
      </x:c>
      <x:c r="AC519" t="str"/>
      <x:c r="AD519" t="str">
        <x:v>Mock rater record for experiment design; audit against real video outputs before publication.</x:v>
      </x:c>
    </x:row>
    <x:row r="520">
      <x:c r="A520" t="str">
        <x:v>S087-Runway-MET</x:v>
      </x:c>
      <x:c r="B520" t="str">
        <x:v>S087</x:v>
      </x:c>
      <x:c r="C520" t="str">
        <x:v>Automotive</x:v>
      </x:c>
      <x:c r="D520" t="str">
        <x:v>wipers</x:v>
      </x:c>
      <x:c r="E520" t="str">
        <x:v>replacing</x:v>
      </x:c>
      <x:c r="F520" t="n">
        <x:v>2</x:v>
      </x:c>
      <x:c r="G520" t="str">
        <x:v>slide a wiper blade hook adapter off the arm</x:v>
      </x:c>
      <x:c r="H520" t="str">
        <x:v>wiper blade</x:v>
      </x:c>
      <x:c r="I520" t="str">
        <x:v>wiper arm hook</x:v>
      </x:c>
      <x:c r="J520" t="str">
        <x:v>Runway Gen-4.5</x:v>
      </x:c>
      <x:c r="K520" t="str">
        <x:v>Metadata-Enriched</x:v>
      </x:c>
      <x:c r="L520" t="str">
        <x:v>Uses clipDescription, clipSummary, toolNames, suppliesNames, processTechniques, safetyEquipment.</x:v>
      </x:c>
      <x:c r="M520" t="str">
        <x:v>Close-up realistic instructional DIY video: slide a wiper blade hook adapter off the arm. Show wiper blade working on wiper arm hook. Hands visible, stable camera, no text overlay, neutral shop lighting. clipDescription='slide a wiper blade hook adapter off the arm'. clipSummary='one practical repair step'. toolNames='wiper blade'. suppliesNames='wiper arm hook'. processTechnique='replacing'. Safety cue: use normal homeowner precautions and avoid risky shortcuts.</x:v>
      </x:c>
      <x:c r="N520" s="14" t="n">
        <x:v>5</x:v>
      </x:c>
      <x:c r="O520" s="14" t="n">
        <x:v>100872</x:v>
      </x:c>
      <x:c r="P520" t="str">
        <x:v>R-B</x:v>
      </x:c>
      <x:c r="Q520" s="12" t="n">
        <x:v>4.22</x:v>
      </x:c>
      <x:c r="R520" s="12" t="n">
        <x:v>4.25</x:v>
      </x:c>
      <x:c r="S520" s="12" t="n">
        <x:v>4.65</x:v>
      </x:c>
      <x:c r="T520" s="12" t="n">
        <x:v>4.07</x:v>
      </x:c>
      <x:c r="U520" s="12" t="n">
        <x:v>4.16</x:v>
      </x:c>
      <x:c r="V520" s="12" t="n">
        <x:v>4.13</x:v>
      </x:c>
      <x:c r="W520" s="12" t="n">
        <x:f>ROUND((Q520*0.24)+(R520*0.22)+(S520*0.16)+(T520*0.18)+(U520*0.10)+(V520*0.10),2)</x:f>
        <x:v>4.25</x:v>
      </x:c>
      <x:c r="X520" t="str">
        <x:f>IF(W520&gt;=3.55,"Pass","Fail")</x:f>
        <x:v>Pass</x:v>
      </x:c>
      <x:c r="Y520" t="str">
        <x:v>endpoint not visible</x:v>
      </x:c>
      <x:c r="Z520" t="str">
        <x:v>Human check: This one would probably pass a quick review. The wiper blade stays believable, the start and end states are easy to read, and the only nit is that hand occludes the exact contact point. The clip needs a verifier pass before it can enter the training pool. For this automotive example, the main judgment is still whether the viewer can copy the motion.</x:v>
      </x:c>
      <x:c r="AA520" t="str">
        <x:v>Break the action into start, contact, movement, and finish; ban extra tools and hand morphing.</x:v>
      </x:c>
      <x:c r="AB520" t="str">
        <x:v>Medium</x:v>
      </x:c>
      <x:c r="AC520" t="str"/>
      <x:c r="AD520" t="str">
        <x:v>Mock rater record for experiment design; audit against real video outputs before publication.</x:v>
      </x:c>
    </x:row>
    <x:row r="521">
      <x:c r="A521" t="str">
        <x:v>S087-Kling-MET</x:v>
      </x:c>
      <x:c r="B521" t="str">
        <x:v>S087</x:v>
      </x:c>
      <x:c r="C521" t="str">
        <x:v>Automotive</x:v>
      </x:c>
      <x:c r="D521" t="str">
        <x:v>wipers</x:v>
      </x:c>
      <x:c r="E521" t="str">
        <x:v>replacing</x:v>
      </x:c>
      <x:c r="F521" t="n">
        <x:v>2</x:v>
      </x:c>
      <x:c r="G521" t="str">
        <x:v>slide a wiper blade hook adapter off the arm</x:v>
      </x:c>
      <x:c r="H521" t="str">
        <x:v>wiper blade</x:v>
      </x:c>
      <x:c r="I521" t="str">
        <x:v>wiper arm hook</x:v>
      </x:c>
      <x:c r="J521" t="str">
        <x:v>Kling v3.0 (Replicate)</x:v>
      </x:c>
      <x:c r="K521" t="str">
        <x:v>Metadata-Enriched</x:v>
      </x:c>
      <x:c r="L521" t="str">
        <x:v>Uses clipDescription, clipSummary, toolNames, suppliesNames, processTechniques, safetyEquipment.</x:v>
      </x:c>
      <x:c r="M521" t="str">
        <x:v>Close-up realistic instructional DIY video: slide a wiper blade hook adapter off the arm. Show wiper blade working on wiper arm hook. Hands visible, stable camera, no text overlay, neutral shop lighting. clipDescription='slide a wiper blade hook adapter off the arm'. clipSummary='one practical repair step'. toolNames='wiper blade'. suppliesNames='wiper arm hook'. processTechnique='replacing'. Safety cue: use normal homeowner precautions and avoid risky shortcuts.</x:v>
      </x:c>
      <x:c r="N521" s="14" t="n">
        <x:v>10</x:v>
      </x:c>
      <x:c r="O521" s="14" t="n">
        <x:v>100873</x:v>
      </x:c>
      <x:c r="P521" t="str">
        <x:v>R-B</x:v>
      </x:c>
      <x:c r="Q521" s="12" t="n">
        <x:v>3.89</x:v>
      </x:c>
      <x:c r="R521" s="12" t="n">
        <x:v>3.4</x:v>
      </x:c>
      <x:c r="S521" s="12" t="n">
        <x:v>4.1</x:v>
      </x:c>
      <x:c r="T521" s="12" t="n">
        <x:v>3.92</x:v>
      </x:c>
      <x:c r="U521" s="12" t="n">
        <x:v>3.75</x:v>
      </x:c>
      <x:c r="V521" s="12" t="n">
        <x:v>4.15</x:v>
      </x:c>
      <x:c r="W521" s="12" t="n">
        <x:f>ROUND((Q521*0.24)+(R521*0.22)+(S521*0.16)+(T521*0.18)+(U521*0.10)+(V521*0.10),2)</x:f>
        <x:v>3.83</x:v>
      </x:c>
      <x:c r="X521" t="str">
        <x:f>IF(W521&gt;=3.55,"Pass","Fail")</x:f>
        <x:v>Pass</x:v>
      </x:c>
      <x:c r="Y521" t="str">
        <x:v>contact point hidden</x:v>
      </x:c>
      <x:c r="Z521" t="str">
        <x:v>Review note: The clip has the right ingredients but not quite the right mechanics. It needs a tighter prompt about grip, contact, and the end position. The prompt should prioritize hand path over cinematic lighting. For this automotive example, the main judgment is still whether the viewer can copy the motion.</x:v>
      </x:c>
      <x:c r="AA521" t="str">
        <x:v>Use sequential context only for continuity, not for adding previous/next steps into the frame.</x:v>
      </x:c>
      <x:c r="AB521" t="str">
        <x:v>Medium</x:v>
      </x:c>
      <x:c r="AC521" t="str"/>
      <x:c r="AD521" t="str">
        <x:v>Simulated pilot row for planning; replace with blinded ratings after generating actual clips.</x:v>
      </x:c>
    </x:row>
    <x:row r="522">
      <x:c r="A522" t="str">
        <x:v>S087-Pika-MET</x:v>
      </x:c>
      <x:c r="B522" t="str">
        <x:v>S087</x:v>
      </x:c>
      <x:c r="C522" t="str">
        <x:v>Automotive</x:v>
      </x:c>
      <x:c r="D522" t="str">
        <x:v>wipers</x:v>
      </x:c>
      <x:c r="E522" t="str">
        <x:v>replacing</x:v>
      </x:c>
      <x:c r="F522" t="n">
        <x:v>2</x:v>
      </x:c>
      <x:c r="G522" t="str">
        <x:v>slide a wiper blade hook adapter off the arm</x:v>
      </x:c>
      <x:c r="H522" t="str">
        <x:v>wiper blade</x:v>
      </x:c>
      <x:c r="I522" t="str">
        <x:v>wiper arm hook</x:v>
      </x:c>
      <x:c r="J522" t="str">
        <x:v>Pika 2.2</x:v>
      </x:c>
      <x:c r="K522" t="str">
        <x:v>Metadata-Enriched</x:v>
      </x:c>
      <x:c r="L522" t="str">
        <x:v>Uses clipDescription, clipSummary, toolNames, suppliesNames, processTechniques, safetyEquipment.</x:v>
      </x:c>
      <x:c r="M522" t="str">
        <x:v>Close-up realistic instructional DIY video: slide a wiper blade hook adapter off the arm. Show wiper blade working on wiper arm hook. Hands visible, stable camera, no text overlay, neutral shop lighting. clipDescription='slide a wiper blade hook adapter off the arm'. clipSummary='one practical repair step'. toolNames='wiper blade'. suppliesNames='wiper arm hook'. processTechnique='replacing'. Safety cue: use normal homeowner precautions and avoid risky shortcuts.</x:v>
      </x:c>
      <x:c r="N522" s="14" t="n">
        <x:v>5</x:v>
      </x:c>
      <x:c r="O522" s="14" t="n">
        <x:v>100874</x:v>
      </x:c>
      <x:c r="P522" t="str">
        <x:v>R-B</x:v>
      </x:c>
      <x:c r="Q522" s="12" t="n">
        <x:v>3.75</x:v>
      </x:c>
      <x:c r="R522" s="12" t="n">
        <x:v>4.42</x:v>
      </x:c>
      <x:c r="S522" s="12" t="n">
        <x:v>3.88</x:v>
      </x:c>
      <x:c r="T522" s="12" t="n">
        <x:v>3.74</x:v>
      </x:c>
      <x:c r="U522" s="12" t="n">
        <x:v>3.69</x:v>
      </x:c>
      <x:c r="V522" s="12" t="n">
        <x:v>3.47</x:v>
      </x:c>
      <x:c r="W522" s="12" t="n">
        <x:f>ROUND((Q522*0.24)+(R522*0.22)+(S522*0.16)+(T522*0.18)+(U522*0.10)+(V522*0.10),2)</x:f>
        <x:v>3.88</x:v>
      </x:c>
      <x:c r="X522" t="str">
        <x:f>IF(W522&gt;=3.55,"Pass","Fail")</x:f>
        <x:v>Pass</x:v>
      </x:c>
      <x:c r="Y522" t="str">
        <x:v>tool pose a little soft</x:v>
      </x:c>
      <x:c r="Z522" t="str">
        <x:v>Rater note: Looks plausible at first glance. On a second pass, the wiper arm hook shifts slightly and the model seems to infer the outcome rather than show the full replacing. The mistake appears late, so a simple thumbnail review would probably miss it. For this automotive example, the main judgment is still whether the viewer can copy the motion.</x:v>
      </x:c>
      <x:c r="AA522" t="str">
        <x:v>Move safety language earlier in the prompt and remove cinematic camera instructions.</x:v>
      </x:c>
      <x:c r="AB522" t="str">
        <x:v>Medium</x:v>
      </x:c>
      <x:c r="AC522" t="str"/>
      <x:c r="AD522" t="str">
        <x:v>Planning dataset only; scores are plausible placeholders, not vendor claims.</x:v>
      </x:c>
    </x:row>
    <x:row r="523">
      <x:c r="A523" t="str">
        <x:v>S087-Vidu-MET</x:v>
      </x:c>
      <x:c r="B523" t="str">
        <x:v>S087</x:v>
      </x:c>
      <x:c r="C523" t="str">
        <x:v>Automotive</x:v>
      </x:c>
      <x:c r="D523" t="str">
        <x:v>wipers</x:v>
      </x:c>
      <x:c r="E523" t="str">
        <x:v>replacing</x:v>
      </x:c>
      <x:c r="F523" t="n">
        <x:v>2</x:v>
      </x:c>
      <x:c r="G523" t="str">
        <x:v>slide a wiper blade hook adapter off the arm</x:v>
      </x:c>
      <x:c r="H523" t="str">
        <x:v>wiper blade</x:v>
      </x:c>
      <x:c r="I523" t="str">
        <x:v>wiper arm hook</x:v>
      </x:c>
      <x:c r="J523" t="str">
        <x:v>Vidu 2.0</x:v>
      </x:c>
      <x:c r="K523" t="str">
        <x:v>Metadata-Enriched</x:v>
      </x:c>
      <x:c r="L523" t="str">
        <x:v>Uses clipDescription, clipSummary, toolNames, suppliesNames, processTechniques, safetyEquipment.</x:v>
      </x:c>
      <x:c r="M523" t="str">
        <x:v>Close-up realistic instructional DIY video: slide a wiper blade hook adapter off the arm. Show wiper blade working on wiper arm hook. Hands visible, stable camera, no text overlay, neutral shop lighting. clipDescription='slide a wiper blade hook adapter off the arm'. clipSummary='one practical repair step'. toolNames='wiper blade'. suppliesNames='wiper arm hook'. processTechnique='replacing'. Safety cue: use normal homeowner precautions and avoid risky shortcuts.</x:v>
      </x:c>
      <x:c r="N523" s="14" t="n">
        <x:v>5</x:v>
      </x:c>
      <x:c r="O523" s="14" t="n">
        <x:v>100875</x:v>
      </x:c>
      <x:c r="P523" t="str">
        <x:v>R-A</x:v>
      </x:c>
      <x:c r="Q523" s="12" t="n">
        <x:v>3.59</x:v>
      </x:c>
      <x:c r="R523" s="12" t="n">
        <x:v>4.17</x:v>
      </x:c>
      <x:c r="S523" s="12" t="n">
        <x:v>3.22</x:v>
      </x:c>
      <x:c r="T523" s="12" t="n">
        <x:v>3.59</x:v>
      </x:c>
      <x:c r="U523" s="12" t="n">
        <x:v>3.47</x:v>
      </x:c>
      <x:c r="V523" s="12" t="n">
        <x:v>3.26</x:v>
      </x:c>
      <x:c r="W523" s="12" t="n">
        <x:f>ROUND((Q523*0.24)+(R523*0.22)+(S523*0.16)+(T523*0.18)+(U523*0.10)+(V523*0.10),2)</x:f>
        <x:v>3.61</x:v>
      </x:c>
      <x:c r="X523" t="str">
        <x:f>IF(W523&gt;=3.55,"Pass","Fail")</x:f>
        <x:v>Pass</x:v>
      </x:c>
      <x:c r="Y523" t="str">
        <x:v>force/torque reads wrong</x:v>
      </x:c>
      <x:c r="Z523" t="str">
        <x:v>Rater note: I would keep this as a rough candidate. It communicates the step, although the failure mode makes it weaker than a real sourced clip: force/torque reads wrong. The most important fix is to show the before-and-after state without a cut. For this automotive example, the main judgment is still whether the viewer can copy the motion.</x:v>
      </x:c>
      <x:c r="AA523" t="str">
        <x:v>Use a reference image for the wiper blade and specify its grip/orientation in plain language.</x:v>
      </x:c>
      <x:c r="AB523" t="str">
        <x:v>High</x:v>
      </x:c>
      <x:c r="AC523" t="str"/>
      <x:c r="AD523" t="str">
        <x:v>Synthetic benchmark entry; generated clip URL should be filled after API run.</x:v>
      </x:c>
    </x:row>
    <x:row r="524">
      <x:c r="A524" t="str">
        <x:v>S088-Veo-REF</x:v>
      </x:c>
      <x:c r="B524" t="str">
        <x:v>S088</x:v>
      </x:c>
      <x:c r="C524" t="str">
        <x:v>Automotive</x:v>
      </x:c>
      <x:c r="D524" t="str">
        <x:v>fluids</x:v>
      </x:c>
      <x:c r="E524" t="str">
        <x:v>pouring</x:v>
      </x:c>
      <x:c r="F524" t="n">
        <x:v>2</x:v>
      </x:c>
      <x:c r="G524" t="str">
        <x:v>pour windshield washer fluid into the blue reservoir cap</x:v>
      </x:c>
      <x:c r="H524" t="str">
        <x:v>washer fluid jug</x:v>
      </x:c>
      <x:c r="I524" t="str">
        <x:v>washer fluid reservoir</x:v>
      </x:c>
      <x:c r="J524" t="str">
        <x:v>Veo 3.1</x:v>
      </x:c>
      <x:c r="K524" t="str">
        <x:v>Reference-Guided</x:v>
      </x:c>
      <x:c r="L524" t="str">
        <x:v>Adds reference-tool/image cue and brand-agnostic visual constraints.</x:v>
      </x:c>
      <x:c r="M524" t="str">
        <x:v>Close-up realistic instructional DIY video: pour windshield washer fluid into the blue reservoir cap. Show washer fluid jug working on washer fluid reservoir. Hands visible, stable camera, no text overlay, neutral shop lighting. Use a generic, brand-agnostic visual reference for the washer fluid jug; preserve the tool shape and scale; the washer fluid jug must remain in contact with washer fluid reservoir during the key motion.</x:v>
      </x:c>
      <x:c r="N524" s="14" t="n">
        <x:v>8</x:v>
      </x:c>
      <x:c r="O524" s="14" t="n">
        <x:v>100880</x:v>
      </x:c>
      <x:c r="P524" t="str">
        <x:v>R-E</x:v>
      </x:c>
      <x:c r="Q524" s="12" t="n">
        <x:v>3.97</x:v>
      </x:c>
      <x:c r="R524" s="12" t="n">
        <x:v>4.5</x:v>
      </x:c>
      <x:c r="S524" s="12" t="n">
        <x:v>4.24</x:v>
      </x:c>
      <x:c r="T524" s="12" t="n">
        <x:v>4.39</x:v>
      </x:c>
      <x:c r="U524" s="12" t="n">
        <x:v>3.81</x:v>
      </x:c>
      <x:c r="V524" s="12" t="n">
        <x:v>4.28</x:v>
      </x:c>
      <x:c r="W524" s="12" t="n">
        <x:f>ROUND((Q524*0.24)+(R524*0.22)+(S524*0.16)+(T524*0.18)+(U524*0.10)+(V524*0.10),2)</x:f>
        <x:v>4.22</x:v>
      </x:c>
      <x:c r="X524" t="str">
        <x:f>IF(W524&gt;=3.55,"Pass","Fail")</x:f>
        <x:v>Pass</x:v>
      </x:c>
      <x:c r="Y524" t="str">
        <x:v>tool pose a little soft</x:v>
      </x:c>
      <x:c r="Z524" t="str">
        <x:v>Clip review: Good continuity from frame to frame. The washer fluid jug makes visual contact with the workpiece and the motion does not feel invented. This reads better as a teaser than as an instructional clip. For this automotive example, the main judgment is still whether the viewer can copy the motion.</x:v>
      </x:c>
      <x:c r="AA524" t="str">
        <x:v>Specify the exact contact point and do not allow the hand to cover it.</x:v>
      </x:c>
      <x:c r="AB524" t="str">
        <x:v>Medium</x:v>
      </x:c>
      <x:c r="AC524" t="str"/>
      <x:c r="AD524" t="str">
        <x:v>Planning dataset only; scores are plausible placeholders, not vendor claims.</x:v>
      </x:c>
    </x:row>
    <x:row r="525">
      <x:c r="A525" t="str">
        <x:v>S088-Sora-REF</x:v>
      </x:c>
      <x:c r="B525" t="str">
        <x:v>S088</x:v>
      </x:c>
      <x:c r="C525" t="str">
        <x:v>Automotive</x:v>
      </x:c>
      <x:c r="D525" t="str">
        <x:v>fluids</x:v>
      </x:c>
      <x:c r="E525" t="str">
        <x:v>pouring</x:v>
      </x:c>
      <x:c r="F525" t="n">
        <x:v>2</x:v>
      </x:c>
      <x:c r="G525" t="str">
        <x:v>pour windshield washer fluid into the blue reservoir cap</x:v>
      </x:c>
      <x:c r="H525" t="str">
        <x:v>washer fluid jug</x:v>
      </x:c>
      <x:c r="I525" t="str">
        <x:v>washer fluid reservoir</x:v>
      </x:c>
      <x:c r="J525" t="str">
        <x:v>Sora 2 Pro</x:v>
      </x:c>
      <x:c r="K525" t="str">
        <x:v>Reference-Guided</x:v>
      </x:c>
      <x:c r="L525" t="str">
        <x:v>Adds reference-tool/image cue and brand-agnostic visual constraints.</x:v>
      </x:c>
      <x:c r="M525" t="str">
        <x:v>Close-up realistic instructional DIY video: pour windshield washer fluid into the blue reservoir cap. Show washer fluid jug working on washer fluid reservoir. Hands visible, stable camera, no text overlay, neutral shop lighting. Use a generic, brand-agnostic visual reference for the washer fluid jug; preserve the tool shape and scale; the washer fluid jug must remain in contact with washer fluid reservoir during the key motion.</x:v>
      </x:c>
      <x:c r="N525" s="14" t="n">
        <x:v>8</x:v>
      </x:c>
      <x:c r="O525" s="14" t="n">
        <x:v>100881</x:v>
      </x:c>
      <x:c r="P525" t="str">
        <x:v>R-C</x:v>
      </x:c>
      <x:c r="Q525" s="12" t="n">
        <x:v>4.4</x:v>
      </x:c>
      <x:c r="R525" s="12" t="n">
        <x:v>4.12</x:v>
      </x:c>
      <x:c r="S525" s="12" t="n">
        <x:v>4.7</x:v>
      </x:c>
      <x:c r="T525" s="12" t="n">
        <x:v>4.24</x:v>
      </x:c>
      <x:c r="U525" s="12" t="n">
        <x:v>4.17</x:v>
      </x:c>
      <x:c r="V525" s="12" t="n">
        <x:v>3.95</x:v>
      </x:c>
      <x:c r="W525" s="12" t="n">
        <x:f>ROUND((Q525*0.24)+(R525*0.22)+(S525*0.16)+(T525*0.18)+(U525*0.10)+(V525*0.10),2)</x:f>
        <x:v>4.29</x:v>
      </x:c>
      <x:c r="X525" t="str">
        <x:f>IF(W525&gt;=3.55,"Pass","Fail")</x:f>
        <x:v>Pass</x:v>
      </x:c>
      <x:c r="Y525" t="str">
        <x:v>none</x:v>
      </x:c>
      <x:c r="Z525" t="str">
        <x:v>Clip review: Clear enough for a learner. The workpiece does not wander and the camera stays on the washer fluid reservoir; I would still add a freeze or caption after generation. On a small preview it might pass, but full-screen review exposes the issue. For this automotive example, the main judgment is still whether the viewer can copy the motion.</x:v>
      </x:c>
      <x:c r="AA525" t="str">
        <x:v>No immediate re-run; keep as candidate and verify with a second rater.</x:v>
      </x:c>
      <x:c r="AB525" t="str">
        <x:v>Medium-High</x:v>
      </x:c>
      <x:c r="AC525" t="str"/>
      <x:c r="AD525" t="str">
        <x:v>Planning dataset only; scores are plausible placeholders, not vendor claims.</x:v>
      </x:c>
    </x:row>
    <x:row r="526">
      <x:c r="A526" t="str">
        <x:v>S088-Runway-REF</x:v>
      </x:c>
      <x:c r="B526" t="str">
        <x:v>S088</x:v>
      </x:c>
      <x:c r="C526" t="str">
        <x:v>Automotive</x:v>
      </x:c>
      <x:c r="D526" t="str">
        <x:v>fluids</x:v>
      </x:c>
      <x:c r="E526" t="str">
        <x:v>pouring</x:v>
      </x:c>
      <x:c r="F526" t="n">
        <x:v>2</x:v>
      </x:c>
      <x:c r="G526" t="str">
        <x:v>pour windshield washer fluid into the blue reservoir cap</x:v>
      </x:c>
      <x:c r="H526" t="str">
        <x:v>washer fluid jug</x:v>
      </x:c>
      <x:c r="I526" t="str">
        <x:v>washer fluid reservoir</x:v>
      </x:c>
      <x:c r="J526" t="str">
        <x:v>Runway Gen-4.5</x:v>
      </x:c>
      <x:c r="K526" t="str">
        <x:v>Reference-Guided</x:v>
      </x:c>
      <x:c r="L526" t="str">
        <x:v>Adds reference-tool/image cue and brand-agnostic visual constraints.</x:v>
      </x:c>
      <x:c r="M526" t="str">
        <x:v>Close-up realistic instructional DIY video: pour windshield washer fluid into the blue reservoir cap. Show washer fluid jug working on washer fluid reservoir. Hands visible, stable camera, no text overlay, neutral shop lighting. Use a generic, brand-agnostic visual reference for the washer fluid jug; preserve the tool shape and scale; the washer fluid jug must remain in contact with washer fluid reservoir during the key motion.</x:v>
      </x:c>
      <x:c r="N526" s="14" t="n">
        <x:v>5</x:v>
      </x:c>
      <x:c r="O526" s="14" t="n">
        <x:v>100882</x:v>
      </x:c>
      <x:c r="P526" t="str">
        <x:v>R-E</x:v>
      </x:c>
      <x:c r="Q526" s="12" t="n">
        <x:v>3.95</x:v>
      </x:c>
      <x:c r="R526" s="12" t="n">
        <x:v>3.69</x:v>
      </x:c>
      <x:c r="S526" s="12" t="n">
        <x:v>3.59</x:v>
      </x:c>
      <x:c r="T526" s="12" t="n">
        <x:v>3.91</x:v>
      </x:c>
      <x:c r="U526" s="12" t="n">
        <x:v>3.78</x:v>
      </x:c>
      <x:c r="V526" s="12" t="n">
        <x:v>3.83</x:v>
      </x:c>
      <x:c r="W526" s="12" t="n">
        <x:f>ROUND((Q526*0.24)+(R526*0.22)+(S526*0.16)+(T526*0.18)+(U526*0.10)+(V526*0.10),2)</x:f>
        <x:v>3.8</x:v>
      </x:c>
      <x:c r="X526" t="str">
        <x:f>IF(W526&gt;=3.55,"Pass","Fail")</x:f>
        <x:v>Pass</x:v>
      </x:c>
      <x:c r="Y526" t="str">
        <x:v>motion slightly compressed</x:v>
      </x:c>
      <x:c r="Z526" t="str">
        <x:v>Review note: The intention is clear, especially if you already know the step. A novice might miss the key detail because this issue appears right where the action should be most explicit: motion slightly compressed. The next prompt should slow the final second instead of adding more scene detail. For this automotive example, the main judgment is still whether the viewer can copy the motion.</x:v>
      </x:c>
      <x:c r="AA526" t="str">
        <x:v>Use a reference image for the washer fluid jug and specify its grip/orientation in plain language.</x:v>
      </x:c>
      <x:c r="AB526" t="str">
        <x:v>High</x:v>
      </x:c>
      <x:c r="AC526" t="str"/>
      <x:c r="AD526" t="str">
        <x:v>Mock rater record for experiment design; audit against real video outputs before publication.</x:v>
      </x:c>
    </x:row>
    <x:row r="527">
      <x:c r="A527" t="str">
        <x:v>S088-Kling-REF</x:v>
      </x:c>
      <x:c r="B527" t="str">
        <x:v>S088</x:v>
      </x:c>
      <x:c r="C527" t="str">
        <x:v>Automotive</x:v>
      </x:c>
      <x:c r="D527" t="str">
        <x:v>fluids</x:v>
      </x:c>
      <x:c r="E527" t="str">
        <x:v>pouring</x:v>
      </x:c>
      <x:c r="F527" t="n">
        <x:v>2</x:v>
      </x:c>
      <x:c r="G527" t="str">
        <x:v>pour windshield washer fluid into the blue reservoir cap</x:v>
      </x:c>
      <x:c r="H527" t="str">
        <x:v>washer fluid jug</x:v>
      </x:c>
      <x:c r="I527" t="str">
        <x:v>washer fluid reservoir</x:v>
      </x:c>
      <x:c r="J527" t="str">
        <x:v>Kling v3.0 (Replicate)</x:v>
      </x:c>
      <x:c r="K527" t="str">
        <x:v>Reference-Guided</x:v>
      </x:c>
      <x:c r="L527" t="str">
        <x:v>Adds reference-tool/image cue and brand-agnostic visual constraints.</x:v>
      </x:c>
      <x:c r="M527" t="str">
        <x:v>Close-up realistic instructional DIY video: pour windshield washer fluid into the blue reservoir cap. Show washer fluid jug working on washer fluid reservoir. Hands visible, stable camera, no text overlay, neutral shop lighting. Use a generic, brand-agnostic visual reference for the washer fluid jug; preserve the tool shape and scale; the washer fluid jug must remain in contact with washer fluid reservoir during the key motion.</x:v>
      </x:c>
      <x:c r="N527" s="14" t="n">
        <x:v>10</x:v>
      </x:c>
      <x:c r="O527" s="14" t="n">
        <x:v>100883</x:v>
      </x:c>
      <x:c r="P527" t="str">
        <x:v>R-A</x:v>
      </x:c>
      <x:c r="Q527" s="12" t="n">
        <x:v>3.66</x:v>
      </x:c>
      <x:c r="R527" s="12" t="n">
        <x:v>4.11</x:v>
      </x:c>
      <x:c r="S527" s="12" t="n">
        <x:v>4.28</x:v>
      </x:c>
      <x:c r="T527" s="12" t="n">
        <x:v>3.6</x:v>
      </x:c>
      <x:c r="U527" s="12" t="n">
        <x:v>3.58</x:v>
      </x:c>
      <x:c r="V527" s="12" t="n">
        <x:v>4.16</x:v>
      </x:c>
      <x:c r="W527" s="12" t="n">
        <x:f>ROUND((Q527*0.24)+(R527*0.22)+(S527*0.16)+(T527*0.18)+(U527*0.10)+(V527*0.10),2)</x:f>
        <x:v>3.89</x:v>
      </x:c>
      <x:c r="X527" t="str">
        <x:f>IF(W527&gt;=3.55,"Pass","Fail")</x:f>
        <x:v>Pass</x:v>
      </x:c>
      <x:c r="Y527" t="str">
        <x:v>contact point hidden</x:v>
      </x:c>
      <x:c r="Z527" t="str">
        <x:v>Clip review: Usable, but I would not show it without review. The washer fluid jug is recognizable, yet the exact contact point is hard to see when the hand crosses the frame. The mistake appears late, so a simple thumbnail review would probably miss it. For this automotive example, the main judgment is still whether the viewer can copy the motion.</x:v>
      </x:c>
      <x:c r="AA527" t="str">
        <x:v>Break the action into start, contact, movement, and finish; ban extra tools and hand morphing.</x:v>
      </x:c>
      <x:c r="AB527" t="str">
        <x:v>Medium</x:v>
      </x:c>
      <x:c r="AC527" t="str"/>
      <x:c r="AD527" t="str">
        <x:v>Mock rater record for experiment design; audit against real video outputs before publication.</x:v>
      </x:c>
    </x:row>
    <x:row r="528">
      <x:c r="A528" t="str">
        <x:v>S088-Pika-REF</x:v>
      </x:c>
      <x:c r="B528" t="str">
        <x:v>S088</x:v>
      </x:c>
      <x:c r="C528" t="str">
        <x:v>Automotive</x:v>
      </x:c>
      <x:c r="D528" t="str">
        <x:v>fluids</x:v>
      </x:c>
      <x:c r="E528" t="str">
        <x:v>pouring</x:v>
      </x:c>
      <x:c r="F528" t="n">
        <x:v>2</x:v>
      </x:c>
      <x:c r="G528" t="str">
        <x:v>pour windshield washer fluid into the blue reservoir cap</x:v>
      </x:c>
      <x:c r="H528" t="str">
        <x:v>washer fluid jug</x:v>
      </x:c>
      <x:c r="I528" t="str">
        <x:v>washer fluid reservoir</x:v>
      </x:c>
      <x:c r="J528" t="str">
        <x:v>Pika 2.2</x:v>
      </x:c>
      <x:c r="K528" t="str">
        <x:v>Reference-Guided</x:v>
      </x:c>
      <x:c r="L528" t="str">
        <x:v>Adds reference-tool/image cue and brand-agnostic visual constraints.</x:v>
      </x:c>
      <x:c r="M528" t="str">
        <x:v>Close-up realistic instructional DIY video: pour windshield washer fluid into the blue reservoir cap. Show washer fluid jug working on washer fluid reservoir. Hands visible, stable camera, no text overlay, neutral shop lighting. Use a generic, brand-agnostic visual reference for the washer fluid jug; preserve the tool shape and scale; the washer fluid jug must remain in contact with washer fluid reservoir during the key motion.</x:v>
      </x:c>
      <x:c r="N528" s="14" t="n">
        <x:v>5</x:v>
      </x:c>
      <x:c r="O528" s="14" t="n">
        <x:v>100884</x:v>
      </x:c>
      <x:c r="P528" t="str">
        <x:v>R-B</x:v>
      </x:c>
      <x:c r="Q528" s="12" t="n">
        <x:v>3.1</x:v>
      </x:c>
      <x:c r="R528" s="12" t="n">
        <x:v>3.41</x:v>
      </x:c>
      <x:c r="S528" s="12" t="n">
        <x:v>3.7</x:v>
      </x:c>
      <x:c r="T528" s="12" t="n">
        <x:v>3.87</x:v>
      </x:c>
      <x:c r="U528" s="12" t="n">
        <x:v>3.53</x:v>
      </x:c>
      <x:c r="V528" s="12" t="n">
        <x:v>3.94</x:v>
      </x:c>
      <x:c r="W528" s="12" t="n">
        <x:f>ROUND((Q528*0.24)+(R528*0.22)+(S528*0.16)+(T528*0.18)+(U528*0.10)+(V528*0.10),2)</x:f>
        <x:v>3.53</x:v>
      </x:c>
      <x:c r="X528" t="str">
        <x:f>IF(W528&gt;=3.55,"Pass","Fail")</x:f>
        <x:v>Fail</x:v>
      </x:c>
      <x:c r="Y528" t="str">
        <x:v>tool floats near object</x:v>
      </x:c>
      <x:c r="Z528" t="str">
        <x:v>QA note: The clip looks like generic DIY stock footage rather than this specific step. The main problem is tool floats near object, and the end state is not verifiable. The tool silhouette is acceptable; the mechanics are the weak part. For this automotive example, the main judgment is still whether the viewer can copy the motion.</x:v>
      </x:c>
      <x:c r="AA528" t="str">
        <x:v>Use a reference image for the washer fluid jug and specify its grip/orientation in plain language.</x:v>
      </x:c>
      <x:c r="AB528" t="str">
        <x:v>High</x:v>
      </x:c>
      <x:c r="AC528" t="str"/>
      <x:c r="AD528" t="str">
        <x:v>Synthetic benchmark entry; generated clip URL should be filled after API run.</x:v>
      </x:c>
    </x:row>
    <x:row r="529">
      <x:c r="A529" t="str">
        <x:v>S088-Vidu-REF</x:v>
      </x:c>
      <x:c r="B529" t="str">
        <x:v>S088</x:v>
      </x:c>
      <x:c r="C529" t="str">
        <x:v>Automotive</x:v>
      </x:c>
      <x:c r="D529" t="str">
        <x:v>fluids</x:v>
      </x:c>
      <x:c r="E529" t="str">
        <x:v>pouring</x:v>
      </x:c>
      <x:c r="F529" t="n">
        <x:v>2</x:v>
      </x:c>
      <x:c r="G529" t="str">
        <x:v>pour windshield washer fluid into the blue reservoir cap</x:v>
      </x:c>
      <x:c r="H529" t="str">
        <x:v>washer fluid jug</x:v>
      </x:c>
      <x:c r="I529" t="str">
        <x:v>washer fluid reservoir</x:v>
      </x:c>
      <x:c r="J529" t="str">
        <x:v>Vidu 2.0</x:v>
      </x:c>
      <x:c r="K529" t="str">
        <x:v>Reference-Guided</x:v>
      </x:c>
      <x:c r="L529" t="str">
        <x:v>Adds reference-tool/image cue and brand-agnostic visual constraints.</x:v>
      </x:c>
      <x:c r="M529" t="str">
        <x:v>Close-up realistic instructional DIY video: pour windshield washer fluid into the blue reservoir cap. Show washer fluid jug working on washer fluid reservoir. Hands visible, stable camera, no text overlay, neutral shop lighting. Use a generic, brand-agnostic visual reference for the washer fluid jug; preserve the tool shape and scale; the washer fluid jug must remain in contact with washer fluid reservoir during the key motion.</x:v>
      </x:c>
      <x:c r="N529" s="14" t="n">
        <x:v>5</x:v>
      </x:c>
      <x:c r="O529" s="14" t="n">
        <x:v>100885</x:v>
      </x:c>
      <x:c r="P529" t="str">
        <x:v>R-C</x:v>
      </x:c>
      <x:c r="Q529" s="12" t="n">
        <x:v>3.33</x:v>
      </x:c>
      <x:c r="R529" s="12" t="n">
        <x:v>3.1</x:v>
      </x:c>
      <x:c r="S529" s="12" t="n">
        <x:v>3.48</x:v>
      </x:c>
      <x:c r="T529" s="12" t="n">
        <x:v>4</x:v>
      </x:c>
      <x:c r="U529" s="12" t="n">
        <x:v>3.6</x:v>
      </x:c>
      <x:c r="V529" s="12" t="n">
        <x:v>3.91</x:v>
      </x:c>
      <x:c r="W529" s="12" t="n">
        <x:f>ROUND((Q529*0.24)+(R529*0.22)+(S529*0.16)+(T529*0.18)+(U529*0.10)+(V529*0.10),2)</x:f>
        <x:v>3.51</x:v>
      </x:c>
      <x:c r="X529" t="str">
        <x:f>IF(W529&gt;=3.55,"Pass","Fail")</x:f>
        <x:v>Fail</x:v>
      </x:c>
      <x:c r="Y529" t="str">
        <x:v>action starts too late</x:v>
      </x:c>
      <x:c r="Z529" t="str">
        <x:v>Review note: A reviewer would likely reject this. It may be visually attractive, but the tool/object relationship breaks during the important moment. This would be safer as a reference-aided run than a text-only run. For this automotive example, the main judgment is still whether the viewer can copy the motion.</x:v>
      </x:c>
      <x:c r="AA529" t="str">
        <x:v>Specify the exact contact point and do not allow the hand to cover it.</x:v>
      </x:c>
      <x:c r="AB529" t="str">
        <x:v>Medium-High</x:v>
      </x:c>
      <x:c r="AC529" t="str"/>
      <x:c r="AD529" t="str">
        <x:v>Simulated pilot row for planning; replace with blinded ratings after generating actual clips.</x:v>
      </x:c>
    </x:row>
    <x:row r="530">
      <x:c r="A530" t="str">
        <x:v>S089-Veo-SEQ</x:v>
      </x:c>
      <x:c r="B530" t="str">
        <x:v>S089</x:v>
      </x:c>
      <x:c r="C530" t="str">
        <x:v>Automotive</x:v>
      </x:c>
      <x:c r="D530" t="str">
        <x:v>brakes</x:v>
      </x:c>
      <x:c r="E530" t="str">
        <x:v>checking</x:v>
      </x:c>
      <x:c r="F530" t="n">
        <x:v>4</x:v>
      </x:c>
      <x:c r="G530" t="str">
        <x:v>inspect brake pad thickness through the caliper window</x:v>
      </x:c>
      <x:c r="H530" t="str">
        <x:v>flashlight</x:v>
      </x:c>
      <x:c r="I530" t="str">
        <x:v>brake caliper, pad</x:v>
      </x:c>
      <x:c r="J530" t="str">
        <x:v>Veo 3.1</x:v>
      </x:c>
      <x:c r="K530" t="str">
        <x:v>Sequential Context</x:v>
      </x:c>
      <x:c r="L530" t="str">
        <x:v>Provides previous and next step for continuity without asking for them to appear.</x:v>
      </x:c>
      <x:c r="M530" t="str">
        <x:v>Close-up realistic instructional DIY video: inspect brake pad thickness through the caliper window. Show flashlight working on brake caliper, pad. Hands visible, stable camera, no text overlay, neutral shop lighting. This is the middle clip in a sequence. Previous step has already prepared the work area; next step will verify the result. Keep the same workpiece, camera distance, and hand orientation.</x:v>
      </x:c>
      <x:c r="N530" s="14" t="n">
        <x:v>8</x:v>
      </x:c>
      <x:c r="O530" s="14" t="n">
        <x:v>100890</x:v>
      </x:c>
      <x:c r="P530" t="str">
        <x:v>R-A</x:v>
      </x:c>
      <x:c r="Q530" s="12" t="n">
        <x:v>4.4</x:v>
      </x:c>
      <x:c r="R530" s="12" t="n">
        <x:v>4.01</x:v>
      </x:c>
      <x:c r="S530" s="12" t="n">
        <x:v>4.62</x:v>
      </x:c>
      <x:c r="T530" s="12" t="n">
        <x:v>4.13</x:v>
      </x:c>
      <x:c r="U530" s="12" t="n">
        <x:v>4.26</x:v>
      </x:c>
      <x:c r="V530" s="12" t="n">
        <x:v>3.77</x:v>
      </x:c>
      <x:c r="W530" s="12" t="n">
        <x:f>ROUND((Q530*0.24)+(R530*0.22)+(S530*0.16)+(T530*0.18)+(U530*0.10)+(V530*0.10),2)</x:f>
        <x:v>4.22</x:v>
      </x:c>
      <x:c r="X530" t="str">
        <x:f>IF(W530&gt;=3.55,"Pass","Fail")</x:f>
        <x:v>Pass</x:v>
      </x:c>
      <x:c r="Y530" t="str">
        <x:v>motion slightly compressed</x:v>
      </x:c>
      <x:c r="Z530" t="str">
        <x:v>Clip review: Best part is the pacing: it gives enough time to understand checking without turning into a beauty shot. Minor issue: occasional extra hand. This would be safer as a reference-aided run than a text-only run. Continuity is useful here, but it cannot replace showing the actual contact point.</x:v>
      </x:c>
      <x:c r="AA530" t="str">
        <x:v>Break the action into start, contact, movement, and finish; ban extra tools and hand morphing.</x:v>
      </x:c>
      <x:c r="AB530" t="str">
        <x:v>Medium-High</x:v>
      </x:c>
      <x:c r="AC530" t="str"/>
      <x:c r="AD530" t="str">
        <x:v>Mock rater record for experiment design; audit against real video outputs before publication.</x:v>
      </x:c>
    </x:row>
    <x:row r="531">
      <x:c r="A531" t="str">
        <x:v>S089-Sora-SEQ</x:v>
      </x:c>
      <x:c r="B531" t="str">
        <x:v>S089</x:v>
      </x:c>
      <x:c r="C531" t="str">
        <x:v>Automotive</x:v>
      </x:c>
      <x:c r="D531" t="str">
        <x:v>brakes</x:v>
      </x:c>
      <x:c r="E531" t="str">
        <x:v>checking</x:v>
      </x:c>
      <x:c r="F531" t="n">
        <x:v>4</x:v>
      </x:c>
      <x:c r="G531" t="str">
        <x:v>inspect brake pad thickness through the caliper window</x:v>
      </x:c>
      <x:c r="H531" t="str">
        <x:v>flashlight</x:v>
      </x:c>
      <x:c r="I531" t="str">
        <x:v>brake caliper, pad</x:v>
      </x:c>
      <x:c r="J531" t="str">
        <x:v>Sora 2 Pro</x:v>
      </x:c>
      <x:c r="K531" t="str">
        <x:v>Sequential Context</x:v>
      </x:c>
      <x:c r="L531" t="str">
        <x:v>Provides previous and next step for continuity without asking for them to appear.</x:v>
      </x:c>
      <x:c r="M531" t="str">
        <x:v>Close-up realistic instructional DIY video: inspect brake pad thickness through the caliper window. Show flashlight working on brake caliper, pad. Hands visible, stable camera, no text overlay, neutral shop lighting. This is the middle clip in a sequence. Previous step has already prepared the work area; next step will verify the result. Keep the same workpiece, camera distance, and hand orientation.</x:v>
      </x:c>
      <x:c r="N531" s="14" t="n">
        <x:v>8</x:v>
      </x:c>
      <x:c r="O531" s="14" t="n">
        <x:v>100891</x:v>
      </x:c>
      <x:c r="P531" t="str">
        <x:v>R-B</x:v>
      </x:c>
      <x:c r="Q531" s="12" t="n">
        <x:v>3.92</x:v>
      </x:c>
      <x:c r="R531" s="12" t="n">
        <x:v>4.16</x:v>
      </x:c>
      <x:c r="S531" s="12" t="n">
        <x:v>4.29</x:v>
      </x:c>
      <x:c r="T531" s="12" t="n">
        <x:v>4.55</x:v>
      </x:c>
      <x:c r="U531" s="12" t="n">
        <x:v>3.49</x:v>
      </x:c>
      <x:c r="V531" s="12" t="n">
        <x:v>4.64</x:v>
      </x:c>
      <x:c r="W531" s="12" t="n">
        <x:f>ROUND((Q531*0.24)+(R531*0.22)+(S531*0.16)+(T531*0.18)+(U531*0.10)+(V531*0.10),2)</x:f>
        <x:v>4.17</x:v>
      </x:c>
      <x:c r="X531" t="str">
        <x:f>IF(W531&gt;=3.55,"Pass","Fail")</x:f>
        <x:v>Pass</x:v>
      </x:c>
      <x:c r="Y531" t="str">
        <x:v>tool pose a little soft</x:v>
      </x:c>
      <x:c r="Z531" t="str">
        <x:v>Review note: The clip feels like a usable shop-demo take. I can see the hand position and the brake caliper, pad; it just needs a slightly longer hold on the final state. I would keep the same camera angle but ask for a tighter view of the contact point. Continuity is useful here, but it cannot replace showing the actual contact point.</x:v>
      </x:c>
      <x:c r="AA531" t="str">
        <x:v>Ask for a static close-up and require the flashlight to touch the brake caliper, pad before any motion starts.</x:v>
      </x:c>
      <x:c r="AB531" t="str">
        <x:v>Medium</x:v>
      </x:c>
      <x:c r="AC531" t="str"/>
      <x:c r="AD531" t="str">
        <x:v>Planning dataset only; scores are plausible placeholders, not vendor claims.</x:v>
      </x:c>
    </x:row>
    <x:row r="532">
      <x:c r="A532" t="str">
        <x:v>S089-Runway-SEQ</x:v>
      </x:c>
      <x:c r="B532" t="str">
        <x:v>S089</x:v>
      </x:c>
      <x:c r="C532" t="str">
        <x:v>Automotive</x:v>
      </x:c>
      <x:c r="D532" t="str">
        <x:v>brakes</x:v>
      </x:c>
      <x:c r="E532" t="str">
        <x:v>checking</x:v>
      </x:c>
      <x:c r="F532" t="n">
        <x:v>4</x:v>
      </x:c>
      <x:c r="G532" t="str">
        <x:v>inspect brake pad thickness through the caliper window</x:v>
      </x:c>
      <x:c r="H532" t="str">
        <x:v>flashlight</x:v>
      </x:c>
      <x:c r="I532" t="str">
        <x:v>brake caliper, pad</x:v>
      </x:c>
      <x:c r="J532" t="str">
        <x:v>Runway Gen-4.5</x:v>
      </x:c>
      <x:c r="K532" t="str">
        <x:v>Sequential Context</x:v>
      </x:c>
      <x:c r="L532" t="str">
        <x:v>Provides previous and next step for continuity without asking for them to appear.</x:v>
      </x:c>
      <x:c r="M532" t="str">
        <x:v>Close-up realistic instructional DIY video: inspect brake pad thickness through the caliper window. Show flashlight working on brake caliper, pad. Hands visible, stable camera, no text overlay, neutral shop lighting. This is the middle clip in a sequence. Previous step has already prepared the work area; next step will verify the result. Keep the same workpiece, camera distance, and hand orientation.</x:v>
      </x:c>
      <x:c r="N532" s="14" t="n">
        <x:v>5</x:v>
      </x:c>
      <x:c r="O532" s="14" t="n">
        <x:v>100892</x:v>
      </x:c>
      <x:c r="P532" t="str">
        <x:v>R-B</x:v>
      </x:c>
      <x:c r="Q532" s="12" t="n">
        <x:v>3.43</x:v>
      </x:c>
      <x:c r="R532" s="12" t="n">
        <x:v>3.82</x:v>
      </x:c>
      <x:c r="S532" s="12" t="n">
        <x:v>3.81</x:v>
      </x:c>
      <x:c r="T532" s="12" t="n">
        <x:v>4.16</x:v>
      </x:c>
      <x:c r="U532" s="12" t="n">
        <x:v>3.51</x:v>
      </x:c>
      <x:c r="V532" s="12" t="n">
        <x:v>3.77</x:v>
      </x:c>
      <x:c r="W532" s="12" t="n">
        <x:f>ROUND((Q532*0.24)+(R532*0.22)+(S532*0.16)+(T532*0.18)+(U532*0.10)+(V532*0.10),2)</x:f>
        <x:v>3.75</x:v>
      </x:c>
      <x:c r="X532" t="str">
        <x:f>IF(W532&gt;=3.55,"Pass","Fail")</x:f>
        <x:v>Pass</x:v>
      </x:c>
      <x:c r="Y532" t="str">
        <x:v>contact point hidden</x:v>
      </x:c>
      <x:c r="Z532" t="str">
        <x:v>QA note: Usable, but I would not show it without review. The flashlight is recognizable, yet the exact contact point is hard to see when the hand crosses the frame. The clip needs a verifier pass before it can enter the training pool. Continuity is useful here, but it cannot replace showing the actual contact point.</x:v>
      </x:c>
      <x:c r="AA532" t="str">
        <x:v>Use sequential context only for continuity, not for adding previous/next steps into the frame.</x:v>
      </x:c>
      <x:c r="AB532" t="str">
        <x:v>High</x:v>
      </x:c>
      <x:c r="AC532" t="str"/>
      <x:c r="AD532" t="str">
        <x:v>Planning dataset only; scores are plausible placeholders, not vendor claims.</x:v>
      </x:c>
    </x:row>
    <x:row r="533">
      <x:c r="A533" t="str">
        <x:v>S089-Kling-SEQ</x:v>
      </x:c>
      <x:c r="B533" t="str">
        <x:v>S089</x:v>
      </x:c>
      <x:c r="C533" t="str">
        <x:v>Automotive</x:v>
      </x:c>
      <x:c r="D533" t="str">
        <x:v>brakes</x:v>
      </x:c>
      <x:c r="E533" t="str">
        <x:v>checking</x:v>
      </x:c>
      <x:c r="F533" t="n">
        <x:v>4</x:v>
      </x:c>
      <x:c r="G533" t="str">
        <x:v>inspect brake pad thickness through the caliper window</x:v>
      </x:c>
      <x:c r="H533" t="str">
        <x:v>flashlight</x:v>
      </x:c>
      <x:c r="I533" t="str">
        <x:v>brake caliper, pad</x:v>
      </x:c>
      <x:c r="J533" t="str">
        <x:v>Kling v3.0 (Replicate)</x:v>
      </x:c>
      <x:c r="K533" t="str">
        <x:v>Sequential Context</x:v>
      </x:c>
      <x:c r="L533" t="str">
        <x:v>Provides previous and next step for continuity without asking for them to appear.</x:v>
      </x:c>
      <x:c r="M533" t="str">
        <x:v>Close-up realistic instructional DIY video: inspect brake pad thickness through the caliper window. Show flashlight working on brake caliper, pad. Hands visible, stable camera, no text overlay, neutral shop lighting. This is the middle clip in a sequence. Previous step has already prepared the work area; next step will verify the result. Keep the same workpiece, camera distance, and hand orientation.</x:v>
      </x:c>
      <x:c r="N533" s="14" t="n">
        <x:v>10</x:v>
      </x:c>
      <x:c r="O533" s="14" t="n">
        <x:v>100893</x:v>
      </x:c>
      <x:c r="P533" t="str">
        <x:v>R-B</x:v>
      </x:c>
      <x:c r="Q533" s="12" t="n">
        <x:v>3.81</x:v>
      </x:c>
      <x:c r="R533" s="12" t="n">
        <x:v>3.8</x:v>
      </x:c>
      <x:c r="S533" s="12" t="n">
        <x:v>3.63</x:v>
      </x:c>
      <x:c r="T533" s="12" t="n">
        <x:v>3.94</x:v>
      </x:c>
      <x:c r="U533" s="12" t="n">
        <x:v>4.08</x:v>
      </x:c>
      <x:c r="V533" s="12" t="n">
        <x:v>3.83</x:v>
      </x:c>
      <x:c r="W533" s="12" t="n">
        <x:f>ROUND((Q533*0.24)+(R533*0.22)+(S533*0.16)+(T533*0.18)+(U533*0.10)+(V533*0.10),2)</x:f>
        <x:v>3.83</x:v>
      </x:c>
      <x:c r="X533" t="str">
        <x:f>IF(W533&gt;=3.55,"Pass","Fail")</x:f>
        <x:v>Pass</x:v>
      </x:c>
      <x:c r="Y533" t="str">
        <x:v>tool pose a little soft</x:v>
      </x:c>
      <x:c r="Z533" t="str">
        <x:v>Human check: Looks plausible at first glance. On a second pass, the brake caliper, pad shifts slightly and the model seems to infer the outcome rather than show the full checking. The next prompt should slow the final second instead of adding more scene detail. Continuity is useful here, but it cannot replace showing the actual contact point.</x:v>
      </x:c>
      <x:c r="AA533" t="str">
        <x:v>Use a reference image for the flashlight and specify its grip/orientation in plain language.</x:v>
      </x:c>
      <x:c r="AB533" t="str">
        <x:v>Medium</x:v>
      </x:c>
      <x:c r="AC533" t="str"/>
      <x:c r="AD533" t="str">
        <x:v>Mock rater record for experiment design; audit against real video outputs before publication.</x:v>
      </x:c>
    </x:row>
    <x:row r="534">
      <x:c r="A534" t="str">
        <x:v>S089-Pika-SEQ</x:v>
      </x:c>
      <x:c r="B534" t="str">
        <x:v>S089</x:v>
      </x:c>
      <x:c r="C534" t="str">
        <x:v>Automotive</x:v>
      </x:c>
      <x:c r="D534" t="str">
        <x:v>brakes</x:v>
      </x:c>
      <x:c r="E534" t="str">
        <x:v>checking</x:v>
      </x:c>
      <x:c r="F534" t="n">
        <x:v>4</x:v>
      </x:c>
      <x:c r="G534" t="str">
        <x:v>inspect brake pad thickness through the caliper window</x:v>
      </x:c>
      <x:c r="H534" t="str">
        <x:v>flashlight</x:v>
      </x:c>
      <x:c r="I534" t="str">
        <x:v>brake caliper, pad</x:v>
      </x:c>
      <x:c r="J534" t="str">
        <x:v>Pika 2.2</x:v>
      </x:c>
      <x:c r="K534" t="str">
        <x:v>Sequential Context</x:v>
      </x:c>
      <x:c r="L534" t="str">
        <x:v>Provides previous and next step for continuity without asking for them to appear.</x:v>
      </x:c>
      <x:c r="M534" t="str">
        <x:v>Close-up realistic instructional DIY video: inspect brake pad thickness through the caliper window. Show flashlight working on brake caliper, pad. Hands visible, stable camera, no text overlay, neutral shop lighting. This is the middle clip in a sequence. Previous step has already prepared the work area; next step will verify the result. Keep the same workpiece, camera distance, and hand orientation.</x:v>
      </x:c>
      <x:c r="N534" s="14" t="n">
        <x:v>5</x:v>
      </x:c>
      <x:c r="O534" s="14" t="n">
        <x:v>100894</x:v>
      </x:c>
      <x:c r="P534" t="str">
        <x:v>R-A</x:v>
      </x:c>
      <x:c r="Q534" s="12" t="n">
        <x:v>3.6</x:v>
      </x:c>
      <x:c r="R534" s="12" t="n">
        <x:v>3.24</x:v>
      </x:c>
      <x:c r="S534" s="12" t="n">
        <x:v>3.56</x:v>
      </x:c>
      <x:c r="T534" s="12" t="n">
        <x:v>3.9</x:v>
      </x:c>
      <x:c r="U534" s="12" t="n">
        <x:v>3.44</x:v>
      </x:c>
      <x:c r="V534" s="12" t="n">
        <x:v>3.51</x:v>
      </x:c>
      <x:c r="W534" s="12" t="n">
        <x:f>ROUND((Q534*0.24)+(R534*0.22)+(S534*0.16)+(T534*0.18)+(U534*0.10)+(V534*0.10),2)</x:f>
        <x:v>3.54</x:v>
      </x:c>
      <x:c r="X534" t="str">
        <x:f>IF(W534&gt;=3.55,"Pass","Fail")</x:f>
        <x:v>Fail</x:v>
      </x:c>
      <x:c r="Y534" t="str">
        <x:v>tool floats near object</x:v>
      </x:c>
      <x:c r="Z534" t="str">
        <x:v>Review note: This should fail the instructional bar. The model gestures toward the task, but the failure mode prevents a learner from trusting the technique: tool floats near object. The clip needs a verifier pass before it can enter the training pool. Continuity is useful here, but it cannot replace showing the actual contact point.</x:v>
      </x:c>
      <x:c r="AA534" t="str">
        <x:v>Specify the exact contact point and do not allow the hand to cover it.</x:v>
      </x:c>
      <x:c r="AB534" t="str">
        <x:v>High</x:v>
      </x:c>
      <x:c r="AC534" t="str"/>
      <x:c r="AD534" t="str">
        <x:v>Planning dataset only; scores are plausible placeholders, not vendor claims.</x:v>
      </x:c>
    </x:row>
    <x:row r="535">
      <x:c r="A535" t="str">
        <x:v>S089-Vidu-SEQ</x:v>
      </x:c>
      <x:c r="B535" t="str">
        <x:v>S089</x:v>
      </x:c>
      <x:c r="C535" t="str">
        <x:v>Automotive</x:v>
      </x:c>
      <x:c r="D535" t="str">
        <x:v>brakes</x:v>
      </x:c>
      <x:c r="E535" t="str">
        <x:v>checking</x:v>
      </x:c>
      <x:c r="F535" t="n">
        <x:v>4</x:v>
      </x:c>
      <x:c r="G535" t="str">
        <x:v>inspect brake pad thickness through the caliper window</x:v>
      </x:c>
      <x:c r="H535" t="str">
        <x:v>flashlight</x:v>
      </x:c>
      <x:c r="I535" t="str">
        <x:v>brake caliper, pad</x:v>
      </x:c>
      <x:c r="J535" t="str">
        <x:v>Vidu 2.0</x:v>
      </x:c>
      <x:c r="K535" t="str">
        <x:v>Sequential Context</x:v>
      </x:c>
      <x:c r="L535" t="str">
        <x:v>Provides previous and next step for continuity without asking for them to appear.</x:v>
      </x:c>
      <x:c r="M535" t="str">
        <x:v>Close-up realistic instructional DIY video: inspect brake pad thickness through the caliper window. Show flashlight working on brake caliper, pad. Hands visible, stable camera, no text overlay, neutral shop lighting. This is the middle clip in a sequence. Previous step has already prepared the work area; next step will verify the result. Keep the same workpiece, camera distance, and hand orientation.</x:v>
      </x:c>
      <x:c r="N535" s="14" t="n">
        <x:v>5</x:v>
      </x:c>
      <x:c r="O535" s="14" t="n">
        <x:v>100895</x:v>
      </x:c>
      <x:c r="P535" t="str">
        <x:v>R-C</x:v>
      </x:c>
      <x:c r="Q535" s="12" t="n">
        <x:v>3.16</x:v>
      </x:c>
      <x:c r="R535" s="12" t="n">
        <x:v>3.8</x:v>
      </x:c>
      <x:c r="S535" s="12" t="n">
        <x:v>3.33</x:v>
      </x:c>
      <x:c r="T535" s="12" t="n">
        <x:v>2.97</x:v>
      </x:c>
      <x:c r="U535" s="12" t="n">
        <x:v>3.23</x:v>
      </x:c>
      <x:c r="V535" s="12" t="n">
        <x:v>3</x:v>
      </x:c>
      <x:c r="W535" s="12" t="n">
        <x:f>ROUND((Q535*0.24)+(R535*0.22)+(S535*0.16)+(T535*0.18)+(U535*0.10)+(V535*0.10),2)</x:f>
        <x:v>3.28</x:v>
      </x:c>
      <x:c r="X535" t="str">
        <x:f>IF(W535&gt;=3.55,"Pass","Fail")</x:f>
        <x:v>Fail</x:v>
      </x:c>
      <x:c r="Y535" t="str">
        <x:v>over-stylized texture</x:v>
      </x:c>
      <x:c r="Z535" t="str">
        <x:v>Clip review: Too much is being implied. The flashlight and brake caliper, pad are in the scene, but the motion does not demonstrate the actual repair step. The most important fix is to show the before-and-after state without a cut. Continuity is useful here, but it cannot replace showing the actual contact point.</x:v>
      </x:c>
      <x:c r="AA535" t="str">
        <x:v>Move safety language earlier in the prompt and remove cinematic camera instructions.</x:v>
      </x:c>
      <x:c r="AB535" t="str">
        <x:v>High</x:v>
      </x:c>
      <x:c r="AC535" t="str"/>
      <x:c r="AD535" t="str">
        <x:v>Simulated pilot row for planning; replace with blinded ratings after generating actual clips.</x:v>
      </x:c>
    </x:row>
    <x:row r="536">
      <x:c r="A536" t="str">
        <x:v>S090-Veo-CON</x:v>
      </x:c>
      <x:c r="B536" t="str">
        <x:v>S090</x:v>
      </x:c>
      <x:c r="C536" t="str">
        <x:v>Automotive</x:v>
      </x:c>
      <x:c r="D536" t="str">
        <x:v>filters</x:v>
      </x:c>
      <x:c r="E536" t="str">
        <x:v>replacing</x:v>
      </x:c>
      <x:c r="F536" t="n">
        <x:v>2</x:v>
      </x:c>
      <x:c r="G536" t="str">
        <x:v>lift an engine air filter out of the air box</x:v>
      </x:c>
      <x:c r="H536" t="str">
        <x:v>hand only</x:v>
      </x:c>
      <x:c r="I536" t="str">
        <x:v>air filter, air box</x:v>
      </x:c>
      <x:c r="J536" t="str">
        <x:v>Veo 3.1</x:v>
      </x:c>
      <x:c r="K536" t="str">
        <x:v>Constraint-Rich Negative Prompt</x:v>
      </x:c>
      <x:c r="L536" t="str">
        <x:v>Adds concise no-floating-tools/no-extra-objects/no-morphing constraints.</x:v>
      </x:c>
      <x:c r="M536" t="str">
        <x:v>Close-up realistic instructional DIY video: lift an engine air filter out of the air box. Show hand only working on air filter, air box. Hands visible, stable camera, no text overlay, neutral shop lighting. Constraints: no floating tools, no extra tools, no morphing hands, no reversed motion, no impossible deformation, no dramatic camera spin. Keep the full action legible.</x:v>
      </x:c>
      <x:c r="N536" s="14" t="n">
        <x:v>8</x:v>
      </x:c>
      <x:c r="O536" s="14" t="n">
        <x:v>100900</x:v>
      </x:c>
      <x:c r="P536" t="str">
        <x:v>R-E</x:v>
      </x:c>
      <x:c r="Q536" s="12" t="n">
        <x:v>4.71</x:v>
      </x:c>
      <x:c r="R536" s="12" t="n">
        <x:v>4.22</x:v>
      </x:c>
      <x:c r="S536" s="12" t="n">
        <x:v>4.38</x:v>
      </x:c>
      <x:c r="T536" s="12" t="n">
        <x:v>4.49</x:v>
      </x:c>
      <x:c r="U536" s="12" t="n">
        <x:v>4.16</x:v>
      </x:c>
      <x:c r="V536" s="12" t="n">
        <x:v>4.21</x:v>
      </x:c>
      <x:c r="W536" s="12" t="n">
        <x:f>ROUND((Q536*0.24)+(R536*0.22)+(S536*0.16)+(T536*0.18)+(U536*0.10)+(V536*0.10),2)</x:f>
        <x:v>4.4</x:v>
      </x:c>
      <x:c r="X536" t="str">
        <x:f>IF(W536&gt;=3.55,"Pass","Fail")</x:f>
        <x:v>Pass</x:v>
      </x:c>
      <x:c r="Y536" t="str">
        <x:v>none</x:v>
      </x:c>
      <x:c r="Z536" t="str">
        <x:v>Clip review: Best part is the pacing: it gives enough time to understand replacing without turning into a beauty shot. Minor issue: slightly staged tool contact. I would keep the same camera angle but ask for a tighter view of the contact point. The negative constraints help, but they do not fully solve the mechanics.</x:v>
      </x:c>
      <x:c r="AA536" t="str">
        <x:v>No immediate re-run; keep as candidate and verify with a second rater.</x:v>
      </x:c>
      <x:c r="AB536" t="str">
        <x:v>High</x:v>
      </x:c>
      <x:c r="AC536" t="str"/>
      <x:c r="AD536" t="str">
        <x:v>Synthetic benchmark entry; generated clip URL should be filled after API run.</x:v>
      </x:c>
    </x:row>
    <x:row r="537">
      <x:c r="A537" t="str">
        <x:v>S090-Sora-CON</x:v>
      </x:c>
      <x:c r="B537" t="str">
        <x:v>S090</x:v>
      </x:c>
      <x:c r="C537" t="str">
        <x:v>Automotive</x:v>
      </x:c>
      <x:c r="D537" t="str">
        <x:v>filters</x:v>
      </x:c>
      <x:c r="E537" t="str">
        <x:v>replacing</x:v>
      </x:c>
      <x:c r="F537" t="n">
        <x:v>2</x:v>
      </x:c>
      <x:c r="G537" t="str">
        <x:v>lift an engine air filter out of the air box</x:v>
      </x:c>
      <x:c r="H537" t="str">
        <x:v>hand only</x:v>
      </x:c>
      <x:c r="I537" t="str">
        <x:v>air filter, air box</x:v>
      </x:c>
      <x:c r="J537" t="str">
        <x:v>Sora 2 Pro</x:v>
      </x:c>
      <x:c r="K537" t="str">
        <x:v>Constraint-Rich Negative Prompt</x:v>
      </x:c>
      <x:c r="L537" t="str">
        <x:v>Adds concise no-floating-tools/no-extra-objects/no-morphing constraints.</x:v>
      </x:c>
      <x:c r="M537" t="str">
        <x:v>Close-up realistic instructional DIY video: lift an engine air filter out of the air box. Show hand only working on air filter, air box. Hands visible, stable camera, no text overlay, neutral shop lighting. Constraints: no floating tools, no extra tools, no morphing hands, no reversed motion, no impossible deformation, no dramatic camera spin. Keep the full action legible.</x:v>
      </x:c>
      <x:c r="N537" s="14" t="n">
        <x:v>8</x:v>
      </x:c>
      <x:c r="O537" s="14" t="n">
        <x:v>100901</x:v>
      </x:c>
      <x:c r="P537" t="str">
        <x:v>R-D</x:v>
      </x:c>
      <x:c r="Q537" s="12" t="n">
        <x:v>4.18</x:v>
      </x:c>
      <x:c r="R537" s="12" t="n">
        <x:v>4.29</x:v>
      </x:c>
      <x:c r="S537" s="12" t="n">
        <x:v>4.29</x:v>
      </x:c>
      <x:c r="T537" s="12" t="n">
        <x:v>4.31</x:v>
      </x:c>
      <x:c r="U537" s="12" t="n">
        <x:v>4.36</x:v>
      </x:c>
      <x:c r="V537" s="12" t="n">
        <x:v>4.51</x:v>
      </x:c>
      <x:c r="W537" s="12" t="n">
        <x:f>ROUND((Q537*0.24)+(R537*0.22)+(S537*0.16)+(T537*0.18)+(U537*0.10)+(V537*0.10),2)</x:f>
        <x:v>4.3</x:v>
      </x:c>
      <x:c r="X537" t="str">
        <x:f>IF(W537&gt;=3.55,"Pass","Fail")</x:f>
        <x:v>Pass</x:v>
      </x:c>
      <x:c r="Y537" t="str">
        <x:v>none</x:v>
      </x:c>
      <x:c r="Z537" t="str">
        <x:v>Clip review: This one would probably pass a quick review. The hand only stays believable, the start and end states are easy to read, and the only nit is that tool rotation is a beat late. The tool silhouette is acceptable; the mechanics are the weak part. The negative constraints help, but they do not fully solve the mechanics.</x:v>
      </x:c>
      <x:c r="AA537" t="str">
        <x:v>No immediate re-run; keep as candidate and verify with a second rater.</x:v>
      </x:c>
      <x:c r="AB537" t="str">
        <x:v>Medium-High</x:v>
      </x:c>
      <x:c r="AC537" t="str"/>
      <x:c r="AD537" t="str">
        <x:v>Planning dataset only; scores are plausible placeholders, not vendor claims.</x:v>
      </x:c>
    </x:row>
    <x:row r="538">
      <x:c r="A538" t="str">
        <x:v>S090-Runway-CON</x:v>
      </x:c>
      <x:c r="B538" t="str">
        <x:v>S090</x:v>
      </x:c>
      <x:c r="C538" t="str">
        <x:v>Automotive</x:v>
      </x:c>
      <x:c r="D538" t="str">
        <x:v>filters</x:v>
      </x:c>
      <x:c r="E538" t="str">
        <x:v>replacing</x:v>
      </x:c>
      <x:c r="F538" t="n">
        <x:v>2</x:v>
      </x:c>
      <x:c r="G538" t="str">
        <x:v>lift an engine air filter out of the air box</x:v>
      </x:c>
      <x:c r="H538" t="str">
        <x:v>hand only</x:v>
      </x:c>
      <x:c r="I538" t="str">
        <x:v>air filter, air box</x:v>
      </x:c>
      <x:c r="J538" t="str">
        <x:v>Runway Gen-4.5</x:v>
      </x:c>
      <x:c r="K538" t="str">
        <x:v>Constraint-Rich Negative Prompt</x:v>
      </x:c>
      <x:c r="L538" t="str">
        <x:v>Adds concise no-floating-tools/no-extra-objects/no-morphing constraints.</x:v>
      </x:c>
      <x:c r="M538" t="str">
        <x:v>Close-up realistic instructional DIY video: lift an engine air filter out of the air box. Show hand only working on air filter, air box. Hands visible, stable camera, no text overlay, neutral shop lighting. Constraints: no floating tools, no extra tools, no morphing hands, no reversed motion, no impossible deformation, no dramatic camera spin. Keep the full action legible.</x:v>
      </x:c>
      <x:c r="N538" s="14" t="n">
        <x:v>5</x:v>
      </x:c>
      <x:c r="O538" s="14" t="n">
        <x:v>100902</x:v>
      </x:c>
      <x:c r="P538" t="str">
        <x:v>R-D</x:v>
      </x:c>
      <x:c r="Q538" s="12" t="n">
        <x:v>4.21</x:v>
      </x:c>
      <x:c r="R538" s="12" t="n">
        <x:v>4.49</x:v>
      </x:c>
      <x:c r="S538" s="12" t="n">
        <x:v>4.06</x:v>
      </x:c>
      <x:c r="T538" s="12" t="n">
        <x:v>4.06</x:v>
      </x:c>
      <x:c r="U538" s="12" t="n">
        <x:v>3.93</x:v>
      </x:c>
      <x:c r="V538" s="12" t="n">
        <x:v>4.2</x:v>
      </x:c>
      <x:c r="W538" s="12" t="n">
        <x:f>ROUND((Q538*0.24)+(R538*0.22)+(S538*0.16)+(T538*0.18)+(U538*0.10)+(V538*0.10),2)</x:f>
        <x:v>4.19</x:v>
      </x:c>
      <x:c r="X538" t="str">
        <x:f>IF(W538&gt;=3.55,"Pass","Fail")</x:f>
        <x:v>Pass</x:v>
      </x:c>
      <x:c r="Y538" t="str">
        <x:v>contact point hidden</x:v>
      </x:c>
      <x:c r="Z538" t="str">
        <x:v>Review note: This one would probably pass a quick review. The hand only stays believable, the start and end states are easy to read, and the only nit is that short clip compresses the final step. I would keep the same camera angle but ask for a tighter view of the contact point. The negative constraints help, but they do not fully solve the mechanics.</x:v>
      </x:c>
      <x:c r="AA538" t="str">
        <x:v>Move safety language earlier in the prompt and remove cinematic camera instructions.</x:v>
      </x:c>
      <x:c r="AB538" t="str">
        <x:v>Medium-High</x:v>
      </x:c>
      <x:c r="AC538" t="str"/>
      <x:c r="AD538" t="str">
        <x:v>Planning dataset only; scores are plausible placeholders, not vendor claims.</x:v>
      </x:c>
    </x:row>
    <x:row r="539">
      <x:c r="A539" t="str">
        <x:v>S090-Kling-CON</x:v>
      </x:c>
      <x:c r="B539" t="str">
        <x:v>S090</x:v>
      </x:c>
      <x:c r="C539" t="str">
        <x:v>Automotive</x:v>
      </x:c>
      <x:c r="D539" t="str">
        <x:v>filters</x:v>
      </x:c>
      <x:c r="E539" t="str">
        <x:v>replacing</x:v>
      </x:c>
      <x:c r="F539" t="n">
        <x:v>2</x:v>
      </x:c>
      <x:c r="G539" t="str">
        <x:v>lift an engine air filter out of the air box</x:v>
      </x:c>
      <x:c r="H539" t="str">
        <x:v>hand only</x:v>
      </x:c>
      <x:c r="I539" t="str">
        <x:v>air filter, air box</x:v>
      </x:c>
      <x:c r="J539" t="str">
        <x:v>Kling v3.0 (Replicate)</x:v>
      </x:c>
      <x:c r="K539" t="str">
        <x:v>Constraint-Rich Negative Prompt</x:v>
      </x:c>
      <x:c r="L539" t="str">
        <x:v>Adds concise no-floating-tools/no-extra-objects/no-morphing constraints.</x:v>
      </x:c>
      <x:c r="M539" t="str">
        <x:v>Close-up realistic instructional DIY video: lift an engine air filter out of the air box. Show hand only working on air filter, air box. Hands visible, stable camera, no text overlay, neutral shop lighting. Constraints: no floating tools, no extra tools, no morphing hands, no reversed motion, no impossible deformation, no dramatic camera spin. Keep the full action legible.</x:v>
      </x:c>
      <x:c r="N539" s="14" t="n">
        <x:v>10</x:v>
      </x:c>
      <x:c r="O539" s="14" t="n">
        <x:v>100903</x:v>
      </x:c>
      <x:c r="P539" t="str">
        <x:v>R-D</x:v>
      </x:c>
      <x:c r="Q539" s="12" t="n">
        <x:v>3.88</x:v>
      </x:c>
      <x:c r="R539" s="12" t="n">
        <x:v>4.02</x:v>
      </x:c>
      <x:c r="S539" s="12" t="n">
        <x:v>4.1</x:v>
      </x:c>
      <x:c r="T539" s="12" t="n">
        <x:v>4.07</x:v>
      </x:c>
      <x:c r="U539" s="12" t="n">
        <x:v>3.95</x:v>
      </x:c>
      <x:c r="V539" s="12" t="n">
        <x:v>4.32</x:v>
      </x:c>
      <x:c r="W539" s="12" t="n">
        <x:f>ROUND((Q539*0.24)+(R539*0.22)+(S539*0.16)+(T539*0.18)+(U539*0.10)+(V539*0.10),2)</x:f>
        <x:v>4.03</x:v>
      </x:c>
      <x:c r="X539" t="str">
        <x:f>IF(W539&gt;=3.55,"Pass","Fail")</x:f>
        <x:v>Pass</x:v>
      </x:c>
      <x:c r="Y539" t="str">
        <x:v>endpoint not visible</x:v>
      </x:c>
      <x:c r="Z539" t="str">
        <x:v>Human check: Looks plausible at first glance. On a second pass, the air filter, air box shifts slightly and the model seems to infer the outcome rather than show the full replacing. I would keep the same camera angle but ask for a tighter view of the contact point. The negative constraints help, but they do not fully solve the mechanics.</x:v>
      </x:c>
      <x:c r="AA539" t="str">
        <x:v>Break the action into start, contact, movement, and finish; ban extra tools and hand morphing.</x:v>
      </x:c>
      <x:c r="AB539" t="str">
        <x:v>Medium</x:v>
      </x:c>
      <x:c r="AC539" t="str"/>
      <x:c r="AD539" t="str">
        <x:v>Planning dataset only; scores are plausible placeholders, not vendor claims.</x:v>
      </x:c>
    </x:row>
    <x:row r="540">
      <x:c r="A540" t="str">
        <x:v>S090-Pika-CON</x:v>
      </x:c>
      <x:c r="B540" t="str">
        <x:v>S090</x:v>
      </x:c>
      <x:c r="C540" t="str">
        <x:v>Automotive</x:v>
      </x:c>
      <x:c r="D540" t="str">
        <x:v>filters</x:v>
      </x:c>
      <x:c r="E540" t="str">
        <x:v>replacing</x:v>
      </x:c>
      <x:c r="F540" t="n">
        <x:v>2</x:v>
      </x:c>
      <x:c r="G540" t="str">
        <x:v>lift an engine air filter out of the air box</x:v>
      </x:c>
      <x:c r="H540" t="str">
        <x:v>hand only</x:v>
      </x:c>
      <x:c r="I540" t="str">
        <x:v>air filter, air box</x:v>
      </x:c>
      <x:c r="J540" t="str">
        <x:v>Pika 2.2</x:v>
      </x:c>
      <x:c r="K540" t="str">
        <x:v>Constraint-Rich Negative Prompt</x:v>
      </x:c>
      <x:c r="L540" t="str">
        <x:v>Adds concise no-floating-tools/no-extra-objects/no-morphing constraints.</x:v>
      </x:c>
      <x:c r="M540" t="str">
        <x:v>Close-up realistic instructional DIY video: lift an engine air filter out of the air box. Show hand only working on air filter, air box. Hands visible, stable camera, no text overlay, neutral shop lighting. Constraints: no floating tools, no extra tools, no morphing hands, no reversed motion, no impossible deformation, no dramatic camera spin. Keep the full action legible.</x:v>
      </x:c>
      <x:c r="N540" s="14" t="n">
        <x:v>5</x:v>
      </x:c>
      <x:c r="O540" s="14" t="n">
        <x:v>100904</x:v>
      </x:c>
      <x:c r="P540" t="str">
        <x:v>R-D</x:v>
      </x:c>
      <x:c r="Q540" s="12" t="n">
        <x:v>3.79</x:v>
      </x:c>
      <x:c r="R540" s="12" t="n">
        <x:v>3.76</x:v>
      </x:c>
      <x:c r="S540" s="12" t="n">
        <x:v>3.64</x:v>
      </x:c>
      <x:c r="T540" s="12" t="n">
        <x:v>4.08</x:v>
      </x:c>
      <x:c r="U540" s="12" t="n">
        <x:v>3.94</x:v>
      </x:c>
      <x:c r="V540" s="12" t="n">
        <x:v>3.54</x:v>
      </x:c>
      <x:c r="W540" s="12" t="n">
        <x:f>ROUND((Q540*0.24)+(R540*0.22)+(S540*0.16)+(T540*0.18)+(U540*0.10)+(V540*0.10),2)</x:f>
        <x:v>3.8</x:v>
      </x:c>
      <x:c r="X540" t="str">
        <x:f>IF(W540&gt;=3.55,"Pass","Fail")</x:f>
        <x:v>Pass</x:v>
      </x:c>
      <x:c r="Y540" t="str">
        <x:v>contact point hidden</x:v>
      </x:c>
      <x:c r="Z540" t="str">
        <x:v>Review note: The clip has the right ingredients but not quite the right mechanics. It needs a tighter prompt about grip, contact, and the end position. The issue is subtle visually, but it matters because the clip is supposed to teach the technique. The negative constraints help, but they do not fully solve the mechanics.</x:v>
      </x:c>
      <x:c r="AA540" t="str">
        <x:v>Use sequential context only for continuity, not for adding previous/next steps into the frame.</x:v>
      </x:c>
      <x:c r="AB540" t="str">
        <x:v>Medium</x:v>
      </x:c>
      <x:c r="AC540" t="str"/>
      <x:c r="AD540" t="str">
        <x:v>Simulated pilot row for planning; replace with blinded ratings after generating actual clips.</x:v>
      </x:c>
    </x:row>
    <x:row r="541">
      <x:c r="A541" t="str">
        <x:v>S090-Vidu-CON</x:v>
      </x:c>
      <x:c r="B541" t="str">
        <x:v>S090</x:v>
      </x:c>
      <x:c r="C541" t="str">
        <x:v>Automotive</x:v>
      </x:c>
      <x:c r="D541" t="str">
        <x:v>filters</x:v>
      </x:c>
      <x:c r="E541" t="str">
        <x:v>replacing</x:v>
      </x:c>
      <x:c r="F541" t="n">
        <x:v>2</x:v>
      </x:c>
      <x:c r="G541" t="str">
        <x:v>lift an engine air filter out of the air box</x:v>
      </x:c>
      <x:c r="H541" t="str">
        <x:v>hand only</x:v>
      </x:c>
      <x:c r="I541" t="str">
        <x:v>air filter, air box</x:v>
      </x:c>
      <x:c r="J541" t="str">
        <x:v>Vidu 2.0</x:v>
      </x:c>
      <x:c r="K541" t="str">
        <x:v>Constraint-Rich Negative Prompt</x:v>
      </x:c>
      <x:c r="L541" t="str">
        <x:v>Adds concise no-floating-tools/no-extra-objects/no-morphing constraints.</x:v>
      </x:c>
      <x:c r="M541" t="str">
        <x:v>Close-up realistic instructional DIY video: lift an engine air filter out of the air box. Show hand only working on air filter, air box. Hands visible, stable camera, no text overlay, neutral shop lighting. Constraints: no floating tools, no extra tools, no morphing hands, no reversed motion, no impossible deformation, no dramatic camera spin. Keep the full action legible.</x:v>
      </x:c>
      <x:c r="N541" s="14" t="n">
        <x:v>5</x:v>
      </x:c>
      <x:c r="O541" s="14" t="n">
        <x:v>100905</x:v>
      </x:c>
      <x:c r="P541" t="str">
        <x:v>R-A</x:v>
      </x:c>
      <x:c r="Q541" s="12" t="n">
        <x:v>3.06</x:v>
      </x:c>
      <x:c r="R541" s="12" t="n">
        <x:v>3.81</x:v>
      </x:c>
      <x:c r="S541" s="12" t="n">
        <x:v>3.12</x:v>
      </x:c>
      <x:c r="T541" s="12" t="n">
        <x:v>3.19</x:v>
      </x:c>
      <x:c r="U541" s="12" t="n">
        <x:v>3.96</x:v>
      </x:c>
      <x:c r="V541" s="12" t="n">
        <x:v>3.66</x:v>
      </x:c>
      <x:c r="W541" s="12" t="n">
        <x:f>ROUND((Q541*0.24)+(R541*0.22)+(S541*0.16)+(T541*0.18)+(U541*0.10)+(V541*0.10),2)</x:f>
        <x:v>3.41</x:v>
      </x:c>
      <x:c r="X541" t="str">
        <x:f>IF(W541&gt;=3.55,"Pass","Fail")</x:f>
        <x:v>Fail</x:v>
      </x:c>
      <x:c r="Y541" t="str">
        <x:v>tool floats near object</x:v>
      </x:c>
      <x:c r="Z541" t="str">
        <x:v>Clip review: The generated clip loses the procedure. I would re-run with a reference frame and a stricter Action-Object-Tool prompt. This reads better as a teaser than as an instructional clip. The negative constraints help, but they do not fully solve the mechanics.</x:v>
      </x:c>
      <x:c r="AA541" t="str">
        <x:v>Add a one-sentence end-state requirement: viewer must see the completed replacing result for one full second.</x:v>
      </x:c>
      <x:c r="AB541" t="str">
        <x:v>Medium</x:v>
      </x:c>
      <x:c r="AC541" t="str"/>
      <x:c r="AD541" t="str">
        <x:v>Planning dataset only; scores are plausible placeholders, not vendor claims.</x:v>
      </x:c>
    </x:row>
    <x:row r="542">
      <x:c r="A542" t="str">
        <x:v>S091-Veo-DIR</x:v>
      </x:c>
      <x:c r="B542" t="str">
        <x:v>S091</x:v>
      </x:c>
      <x:c r="C542" t="str">
        <x:v>Automotive</x:v>
      </x:c>
      <x:c r="D542" t="str">
        <x:v>spark plugs</x:v>
      </x:c>
      <x:c r="E542" t="str">
        <x:v>removing</x:v>
      </x:c>
      <x:c r="F542" t="n">
        <x:v>5</x:v>
      </x:c>
      <x:c r="G542" t="str">
        <x:v>remove a spark plug using a spark plug socket</x:v>
      </x:c>
      <x:c r="H542" t="str">
        <x:v>spark plug socket</x:v>
      </x:c>
      <x:c r="I542" t="str">
        <x:v>spark plug well</x:v>
      </x:c>
      <x:c r="J542" t="str">
        <x:v>Veo 3.1</x:v>
      </x:c>
      <x:c r="K542" t="str">
        <x:v>Direct Natural Language</x:v>
      </x:c>
      <x:c r="L542" t="str">
        <x:v>Baseline wording only; no explicit decomposition.</x:v>
      </x:c>
      <x:c r="M542" t="str">
        <x:v>Close-up realistic instructional DIY video: remove a spark plug using a spark plug socket. Show spark plug socket working on spark plug well. Hands visible, stable camera, no text overlay, neutral shop lighting.</x:v>
      </x:c>
      <x:c r="N542" s="14" t="n">
        <x:v>8</x:v>
      </x:c>
      <x:c r="O542" s="14" t="n">
        <x:v>100910</x:v>
      </x:c>
      <x:c r="P542" t="str">
        <x:v>R-B</x:v>
      </x:c>
      <x:c r="Q542" s="12" t="n">
        <x:v>4</x:v>
      </x:c>
      <x:c r="R542" s="12" t="n">
        <x:v>3</x:v>
      </x:c>
      <x:c r="S542" s="12" t="n">
        <x:v>4.27</x:v>
      </x:c>
      <x:c r="T542" s="12" t="n">
        <x:v>3.81</x:v>
      </x:c>
      <x:c r="U542" s="12" t="n">
        <x:v>3.19</x:v>
      </x:c>
      <x:c r="V542" s="12" t="n">
        <x:v>4.02</x:v>
      </x:c>
      <x:c r="W542" s="12" t="n">
        <x:f>ROUND((Q542*0.24)+(R542*0.22)+(S542*0.16)+(T542*0.18)+(U542*0.10)+(V542*0.10),2)</x:f>
        <x:v>3.71</x:v>
      </x:c>
      <x:c r="X542" t="str">
        <x:f>IF(W542&gt;=3.55,"Pass","Fail")</x:f>
        <x:v>Pass</x:v>
      </x:c>
      <x:c r="Y542" t="str">
        <x:v>material looks wrong</x:v>
      </x:c>
      <x:c r="Z542" t="str">
        <x:v>Review note: Usable, but I would not show it without review. The spark plug socket is recognizable, yet the exact contact point is hard to see when the hand crosses the frame. The mistake appears late, so a simple thumbnail review would probably miss it. The baseline prompt is likely under-specifying the tool path.</x:v>
      </x:c>
      <x:c r="AA542" t="str">
        <x:v>Add a one-sentence end-state requirement: viewer must see the completed removing result for one full second.</x:v>
      </x:c>
      <x:c r="AB542" t="str">
        <x:v>Medium</x:v>
      </x:c>
      <x:c r="AC542" t="str"/>
      <x:c r="AD542" t="str">
        <x:v>Mock rater record for experiment design; audit against real video outputs before publication.</x:v>
      </x:c>
    </x:row>
    <x:row r="543">
      <x:c r="A543" t="str">
        <x:v>S091-Sora-DIR</x:v>
      </x:c>
      <x:c r="B543" t="str">
        <x:v>S091</x:v>
      </x:c>
      <x:c r="C543" t="str">
        <x:v>Automotive</x:v>
      </x:c>
      <x:c r="D543" t="str">
        <x:v>spark plugs</x:v>
      </x:c>
      <x:c r="E543" t="str">
        <x:v>removing</x:v>
      </x:c>
      <x:c r="F543" t="n">
        <x:v>5</x:v>
      </x:c>
      <x:c r="G543" t="str">
        <x:v>remove a spark plug using a spark plug socket</x:v>
      </x:c>
      <x:c r="H543" t="str">
        <x:v>spark plug socket</x:v>
      </x:c>
      <x:c r="I543" t="str">
        <x:v>spark plug well</x:v>
      </x:c>
      <x:c r="J543" t="str">
        <x:v>Sora 2 Pro</x:v>
      </x:c>
      <x:c r="K543" t="str">
        <x:v>Direct Natural Language</x:v>
      </x:c>
      <x:c r="L543" t="str">
        <x:v>Baseline wording only; no explicit decomposition.</x:v>
      </x:c>
      <x:c r="M543" t="str">
        <x:v>Close-up realistic instructional DIY video: remove a spark plug using a spark plug socket. Show spark plug socket working on spark plug well. Hands visible, stable camera, no text overlay, neutral shop lighting.</x:v>
      </x:c>
      <x:c r="N543" s="14" t="n">
        <x:v>8</x:v>
      </x:c>
      <x:c r="O543" s="14" t="n">
        <x:v>100911</x:v>
      </x:c>
      <x:c r="P543" t="str">
        <x:v>R-D</x:v>
      </x:c>
      <x:c r="Q543" s="12" t="n">
        <x:v>3.46</x:v>
      </x:c>
      <x:c r="R543" s="12" t="n">
        <x:v>3.71</x:v>
      </x:c>
      <x:c r="S543" s="12" t="n">
        <x:v>2.77</x:v>
      </x:c>
      <x:c r="T543" s="12" t="n">
        <x:v>4.27</x:v>
      </x:c>
      <x:c r="U543" s="12" t="n">
        <x:v>3.53</x:v>
      </x:c>
      <x:c r="V543" s="12" t="n">
        <x:v>3.15</x:v>
      </x:c>
      <x:c r="W543" s="12" t="n">
        <x:f>ROUND((Q543*0.24)+(R543*0.22)+(S543*0.16)+(T543*0.18)+(U543*0.10)+(V543*0.10),2)</x:f>
        <x:v>3.53</x:v>
      </x:c>
      <x:c r="X543" t="str">
        <x:f>IF(W543&gt;=3.55,"Pass","Fail")</x:f>
        <x:v>Fail</x:v>
      </x:c>
      <x:c r="Y543" t="str">
        <x:v>material looks wrong</x:v>
      </x:c>
      <x:c r="Z543" t="str">
        <x:v>Clip review: Too much is being implied. The spark plug socket and spark plug well are in the scene, but the motion does not demonstrate the actual repair step. The issue is subtle visually, but it matters because the clip is supposed to teach the technique. The baseline prompt is likely under-specifying the tool path.</x:v>
      </x:c>
      <x:c r="AA543" t="str">
        <x:v>Move safety language earlier in the prompt and remove cinematic camera instructions.</x:v>
      </x:c>
      <x:c r="AB543" t="str">
        <x:v>Medium-High</x:v>
      </x:c>
      <x:c r="AC543" t="str"/>
      <x:c r="AD543" t="str">
        <x:v>Simulated pilot row for planning; replace with blinded ratings after generating actual clips.</x:v>
      </x:c>
    </x:row>
    <x:row r="544">
      <x:c r="A544" t="str">
        <x:v>S091-Runway-DIR</x:v>
      </x:c>
      <x:c r="B544" t="str">
        <x:v>S091</x:v>
      </x:c>
      <x:c r="C544" t="str">
        <x:v>Automotive</x:v>
      </x:c>
      <x:c r="D544" t="str">
        <x:v>spark plugs</x:v>
      </x:c>
      <x:c r="E544" t="str">
        <x:v>removing</x:v>
      </x:c>
      <x:c r="F544" t="n">
        <x:v>5</x:v>
      </x:c>
      <x:c r="G544" t="str">
        <x:v>remove a spark plug using a spark plug socket</x:v>
      </x:c>
      <x:c r="H544" t="str">
        <x:v>spark plug socket</x:v>
      </x:c>
      <x:c r="I544" t="str">
        <x:v>spark plug well</x:v>
      </x:c>
      <x:c r="J544" t="str">
        <x:v>Runway Gen-4.5</x:v>
      </x:c>
      <x:c r="K544" t="str">
        <x:v>Direct Natural Language</x:v>
      </x:c>
      <x:c r="L544" t="str">
        <x:v>Baseline wording only; no explicit decomposition.</x:v>
      </x:c>
      <x:c r="M544" t="str">
        <x:v>Close-up realistic instructional DIY video: remove a spark plug using a spark plug socket. Show spark plug socket working on spark plug well. Hands visible, stable camera, no text overlay, neutral shop lighting.</x:v>
      </x:c>
      <x:c r="N544" s="14" t="n">
        <x:v>5</x:v>
      </x:c>
      <x:c r="O544" s="14" t="n">
        <x:v>100912</x:v>
      </x:c>
      <x:c r="P544" t="str">
        <x:v>R-E</x:v>
      </x:c>
      <x:c r="Q544" s="12" t="n">
        <x:v>3.45</x:v>
      </x:c>
      <x:c r="R544" s="12" t="n">
        <x:v>3.77</x:v>
      </x:c>
      <x:c r="S544" s="12" t="n">
        <x:v>3.82</x:v>
      </x:c>
      <x:c r="T544" s="12" t="n">
        <x:v>3.43</x:v>
      </x:c>
      <x:c r="U544" s="12" t="n">
        <x:v>3.05</x:v>
      </x:c>
      <x:c r="V544" s="12" t="n">
        <x:v>4</x:v>
      </x:c>
      <x:c r="W544" s="12" t="n">
        <x:f>ROUND((Q544*0.24)+(R544*0.22)+(S544*0.16)+(T544*0.18)+(U544*0.10)+(V544*0.10),2)</x:f>
        <x:v>3.59</x:v>
      </x:c>
      <x:c r="X544" t="str">
        <x:f>IF(W544&gt;=3.55,"Pass","Fail")</x:f>
        <x:v>Pass</x:v>
      </x:c>
      <x:c r="Y544" t="str">
        <x:v>wrong grip on tool</x:v>
      </x:c>
      <x:c r="Z544" t="str">
        <x:v>Human check: The clip has the right ingredients but not quite the right mechanics. It needs a tighter prompt about grip, contact, and the end position. I would keep the same camera angle but ask for a tighter view of the contact point. The baseline prompt is likely under-specifying the tool path.</x:v>
      </x:c>
      <x:c r="AA544" t="str">
        <x:v>Ask for a static close-up and require the spark plug socket to touch the spark plug well before any motion starts.</x:v>
      </x:c>
      <x:c r="AB544" t="str">
        <x:v>Medium</x:v>
      </x:c>
      <x:c r="AC544" t="str"/>
      <x:c r="AD544" t="str">
        <x:v>Simulated pilot row for planning; replace with blinded ratings after generating actual clips.</x:v>
      </x:c>
    </x:row>
    <x:row r="545">
      <x:c r="A545" t="str">
        <x:v>S091-Kling-DIR</x:v>
      </x:c>
      <x:c r="B545" t="str">
        <x:v>S091</x:v>
      </x:c>
      <x:c r="C545" t="str">
        <x:v>Automotive</x:v>
      </x:c>
      <x:c r="D545" t="str">
        <x:v>spark plugs</x:v>
      </x:c>
      <x:c r="E545" t="str">
        <x:v>removing</x:v>
      </x:c>
      <x:c r="F545" t="n">
        <x:v>5</x:v>
      </x:c>
      <x:c r="G545" t="str">
        <x:v>remove a spark plug using a spark plug socket</x:v>
      </x:c>
      <x:c r="H545" t="str">
        <x:v>spark plug socket</x:v>
      </x:c>
      <x:c r="I545" t="str">
        <x:v>spark plug well</x:v>
      </x:c>
      <x:c r="J545" t="str">
        <x:v>Kling v3.0 (Replicate)</x:v>
      </x:c>
      <x:c r="K545" t="str">
        <x:v>Direct Natural Language</x:v>
      </x:c>
      <x:c r="L545" t="str">
        <x:v>Baseline wording only; no explicit decomposition.</x:v>
      </x:c>
      <x:c r="M545" t="str">
        <x:v>Close-up realistic instructional DIY video: remove a spark plug using a spark plug socket. Show spark plug socket working on spark plug well. Hands visible, stable camera, no text overlay, neutral shop lighting.</x:v>
      </x:c>
      <x:c r="N545" s="14" t="n">
        <x:v>10</x:v>
      </x:c>
      <x:c r="O545" s="14" t="n">
        <x:v>100913</x:v>
      </x:c>
      <x:c r="P545" t="str">
        <x:v>R-B</x:v>
      </x:c>
      <x:c r="Q545" s="12" t="n">
        <x:v>3.33</x:v>
      </x:c>
      <x:c r="R545" s="12" t="n">
        <x:v>3.27</x:v>
      </x:c>
      <x:c r="S545" s="12" t="n">
        <x:v>2.97</x:v>
      </x:c>
      <x:c r="T545" s="12" t="n">
        <x:v>2.83</x:v>
      </x:c>
      <x:c r="U545" s="12" t="n">
        <x:v>2.56</x:v>
      </x:c>
      <x:c r="V545" s="12" t="n">
        <x:v>4.24</x:v>
      </x:c>
      <x:c r="W545" s="12" t="n">
        <x:f>ROUND((Q545*0.24)+(R545*0.22)+(S545*0.16)+(T545*0.18)+(U545*0.10)+(V545*0.10),2)</x:f>
        <x:v>3.18</x:v>
      </x:c>
      <x:c r="X545" t="str">
        <x:f>IF(W545&gt;=3.55,"Pass","Fail")</x:f>
        <x:v>Fail</x:v>
      </x:c>
      <x:c r="Y545" t="str">
        <x:v>object morphs</x:v>
      </x:c>
      <x:c r="Z545" t="str">
        <x:v>Human check: Too much is being implied. The spark plug socket and spark plug well are in the scene, but the motion does not demonstrate the actual repair step. This reads better as a teaser than as an instructional clip. The baseline prompt is likely under-specifying the tool path.</x:v>
      </x:c>
      <x:c r="AA545" t="str">
        <x:v>Specify the exact contact point and do not allow the hand to cover it.</x:v>
      </x:c>
      <x:c r="AB545" t="str">
        <x:v>High</x:v>
      </x:c>
      <x:c r="AC545" t="str"/>
      <x:c r="AD545" t="str">
        <x:v>Planning dataset only; scores are plausible placeholders, not vendor claims.</x:v>
      </x:c>
    </x:row>
    <x:row r="546">
      <x:c r="A546" t="str">
        <x:v>S091-Pika-DIR</x:v>
      </x:c>
      <x:c r="B546" t="str">
        <x:v>S091</x:v>
      </x:c>
      <x:c r="C546" t="str">
        <x:v>Automotive</x:v>
      </x:c>
      <x:c r="D546" t="str">
        <x:v>spark plugs</x:v>
      </x:c>
      <x:c r="E546" t="str">
        <x:v>removing</x:v>
      </x:c>
      <x:c r="F546" t="n">
        <x:v>5</x:v>
      </x:c>
      <x:c r="G546" t="str">
        <x:v>remove a spark plug using a spark plug socket</x:v>
      </x:c>
      <x:c r="H546" t="str">
        <x:v>spark plug socket</x:v>
      </x:c>
      <x:c r="I546" t="str">
        <x:v>spark plug well</x:v>
      </x:c>
      <x:c r="J546" t="str">
        <x:v>Pika 2.2</x:v>
      </x:c>
      <x:c r="K546" t="str">
        <x:v>Direct Natural Language</x:v>
      </x:c>
      <x:c r="L546" t="str">
        <x:v>Baseline wording only; no explicit decomposition.</x:v>
      </x:c>
      <x:c r="M546" t="str">
        <x:v>Close-up realistic instructional DIY video: remove a spark plug using a spark plug socket. Show spark plug socket working on spark plug well. Hands visible, stable camera, no text overlay, neutral shop lighting.</x:v>
      </x:c>
      <x:c r="N546" s="14" t="n">
        <x:v>5</x:v>
      </x:c>
      <x:c r="O546" s="14" t="n">
        <x:v>100914</x:v>
      </x:c>
      <x:c r="P546" t="str">
        <x:v>R-D</x:v>
      </x:c>
      <x:c r="Q546" s="12" t="n">
        <x:v>2.78</x:v>
      </x:c>
      <x:c r="R546" s="12" t="n">
        <x:v>2.51</x:v>
      </x:c>
      <x:c r="S546" s="12" t="n">
        <x:v>3.44</x:v>
      </x:c>
      <x:c r="T546" s="12" t="n">
        <x:v>3.16</x:v>
      </x:c>
      <x:c r="U546" s="12" t="n">
        <x:v>3.17</x:v>
      </x:c>
      <x:c r="V546" s="12" t="n">
        <x:v>2.67</x:v>
      </x:c>
      <x:c r="W546" s="12" t="n">
        <x:f>ROUND((Q546*0.24)+(R546*0.22)+(S546*0.16)+(T546*0.18)+(U546*0.10)+(V546*0.10),2)</x:f>
        <x:v>2.92</x:v>
      </x:c>
      <x:c r="X546" t="str">
        <x:f>IF(W546&gt;=3.55,"Pass","Fail")</x:f>
        <x:v>Fail</x:v>
      </x:c>
      <x:c r="Y546" t="str">
        <x:v>missing contact point</x:v>
      </x:c>
      <x:c r="Z546" t="str">
        <x:v>QA note: A reviewer would likely reject this. It may be visually attractive, but the tool/object relationship breaks during the important moment. The tool silhouette is acceptable; the mechanics are the weak part. The baseline prompt is likely under-specifying the tool path.</x:v>
      </x:c>
      <x:c r="AA546" t="str">
        <x:v>Use sequential context only for continuity, not for adding previous/next steps into the frame.</x:v>
      </x:c>
      <x:c r="AB546" t="str">
        <x:v>Medium-High</x:v>
      </x:c>
      <x:c r="AC546" t="str"/>
      <x:c r="AD546" t="str">
        <x:v>Simulated pilot row for planning; replace with blinded ratings after generating actual clips.</x:v>
      </x:c>
    </x:row>
    <x:row r="547">
      <x:c r="A547" t="str">
        <x:v>S091-Vidu-DIR</x:v>
      </x:c>
      <x:c r="B547" t="str">
        <x:v>S091</x:v>
      </x:c>
      <x:c r="C547" t="str">
        <x:v>Automotive</x:v>
      </x:c>
      <x:c r="D547" t="str">
        <x:v>spark plugs</x:v>
      </x:c>
      <x:c r="E547" t="str">
        <x:v>removing</x:v>
      </x:c>
      <x:c r="F547" t="n">
        <x:v>5</x:v>
      </x:c>
      <x:c r="G547" t="str">
        <x:v>remove a spark plug using a spark plug socket</x:v>
      </x:c>
      <x:c r="H547" t="str">
        <x:v>spark plug socket</x:v>
      </x:c>
      <x:c r="I547" t="str">
        <x:v>spark plug well</x:v>
      </x:c>
      <x:c r="J547" t="str">
        <x:v>Vidu 2.0</x:v>
      </x:c>
      <x:c r="K547" t="str">
        <x:v>Direct Natural Language</x:v>
      </x:c>
      <x:c r="L547" t="str">
        <x:v>Baseline wording only; no explicit decomposition.</x:v>
      </x:c>
      <x:c r="M547" t="str">
        <x:v>Close-up realistic instructional DIY video: remove a spark plug using a spark plug socket. Show spark plug socket working on spark plug well. Hands visible, stable camera, no text overlay, neutral shop lighting.</x:v>
      </x:c>
      <x:c r="N547" s="14" t="n">
        <x:v>5</x:v>
      </x:c>
      <x:c r="O547" s="14" t="n">
        <x:v>100915</x:v>
      </x:c>
      <x:c r="P547" t="str">
        <x:v>R-A</x:v>
      </x:c>
      <x:c r="Q547" s="12" t="n">
        <x:v>3.14</x:v>
      </x:c>
      <x:c r="R547" s="12" t="n">
        <x:v>2.47</x:v>
      </x:c>
      <x:c r="S547" s="12" t="n">
        <x:v>2.93</x:v>
      </x:c>
      <x:c r="T547" s="12" t="n">
        <x:v>3.44</x:v>
      </x:c>
      <x:c r="U547" s="12" t="n">
        <x:v>2.8</x:v>
      </x:c>
      <x:c r="V547" s="12" t="n">
        <x:v>2.34</x:v>
      </x:c>
      <x:c r="W547" s="12" t="n">
        <x:f>ROUND((Q547*0.24)+(R547*0.22)+(S547*0.16)+(T547*0.18)+(U547*0.10)+(V547*0.10),2)</x:f>
        <x:v>2.9</x:v>
      </x:c>
      <x:c r="X547" t="str">
        <x:f>IF(W547&gt;=3.55,"Pass","Fail")</x:f>
        <x:v>Fail</x:v>
      </x:c>
      <x:c r="Y547" t="str">
        <x:v>sequence reversed</x:v>
      </x:c>
      <x:c r="Z547" t="str">
        <x:v>QA note: Too much is being implied. The spark plug socket and spark plug well are in the scene, but the motion does not demonstrate the actual repair step. I would keep the same camera angle but ask for a tighter view of the contact point. The baseline prompt is likely under-specifying the tool path.</x:v>
      </x:c>
      <x:c r="AA547" t="str">
        <x:v>Specify the exact contact point and do not allow the hand to cover it.</x:v>
      </x:c>
      <x:c r="AB547" t="str">
        <x:v>Medium</x:v>
      </x:c>
      <x:c r="AC547" t="str"/>
      <x:c r="AD547" t="str">
        <x:v>Synthetic benchmark entry; generated clip URL should be filled after API run.</x:v>
      </x:c>
    </x:row>
    <x:row r="548">
      <x:c r="A548" t="str">
        <x:v>S092-Veo-STR</x:v>
      </x:c>
      <x:c r="B548" t="str">
        <x:v>S092</x:v>
      </x:c>
      <x:c r="C548" t="str">
        <x:v>Automotive</x:v>
      </x:c>
      <x:c r="D548" t="str">
        <x:v>interior</x:v>
      </x:c>
      <x:c r="E548" t="str">
        <x:v>installing</x:v>
      </x:c>
      <x:c r="F548" t="n">
        <x:v>2</x:v>
      </x:c>
      <x:c r="G548" t="str">
        <x:v>clip a floor mat onto the retention posts</x:v>
      </x:c>
      <x:c r="H548" t="str">
        <x:v>floor mat</x:v>
      </x:c>
      <x:c r="I548" t="str">
        <x:v>retention posts</x:v>
      </x:c>
      <x:c r="J548" t="str">
        <x:v>Veo 3.1</x:v>
      </x:c>
      <x:c r="K548" t="str">
        <x:v>Structured Action-Object-Tool</x:v>
      </x:c>
      <x:c r="L548" t="str">
        <x:v>Action, tool, object, grip, contact point, start/end states.</x:v>
      </x:c>
      <x:c r="M548" t="str">
        <x:v>Close-up realistic instructional DIY video: clip a floor mat onto the retention posts. Show floor mat working on retention posts. Hands visible, stable camera, no text overlay, neutral shop lighting. Action=installing; tool=floor mat; object/material=retention posts; show tool-to-object contact; start state, motion, and finished state all visible.</x:v>
      </x:c>
      <x:c r="N548" s="14" t="n">
        <x:v>8</x:v>
      </x:c>
      <x:c r="O548" s="14" t="n">
        <x:v>100920</x:v>
      </x:c>
      <x:c r="P548" t="str">
        <x:v>R-D</x:v>
      </x:c>
      <x:c r="Q548" s="12" t="n">
        <x:v>4.2</x:v>
      </x:c>
      <x:c r="R548" s="12" t="n">
        <x:v>4.44</x:v>
      </x:c>
      <x:c r="S548" s="12" t="n">
        <x:v>4.26</x:v>
      </x:c>
      <x:c r="T548" s="12" t="n">
        <x:v>4.15</x:v>
      </x:c>
      <x:c r="U548" s="12" t="n">
        <x:v>3.85</x:v>
      </x:c>
      <x:c r="V548" s="12" t="n">
        <x:v>4.89</x:v>
      </x:c>
      <x:c r="W548" s="12" t="n">
        <x:f>ROUND((Q548*0.24)+(R548*0.22)+(S548*0.16)+(T548*0.18)+(U548*0.10)+(V548*0.10),2)</x:f>
        <x:v>4.29</x:v>
      </x:c>
      <x:c r="X548" t="str">
        <x:f>IF(W548&gt;=3.55,"Pass","Fail")</x:f>
        <x:v>Pass</x:v>
      </x:c>
      <x:c r="Y548" t="str">
        <x:v>none</x:v>
      </x:c>
      <x:c r="Z548" t="str">
        <x:v>QA note: Good continuity from frame to frame. The floor mat makes visual contact with the workpiece and the motion does not feel invented. The prompt should prioritize hand path over cinematic lighting. For this automotive example, the main judgment is still whether the viewer can copy the motion.</x:v>
      </x:c>
      <x:c r="AA548" t="str">
        <x:v>No immediate re-run; keep as candidate and verify with a second rater.</x:v>
      </x:c>
      <x:c r="AB548" t="str">
        <x:v>Medium</x:v>
      </x:c>
      <x:c r="AC548" t="str"/>
      <x:c r="AD548" t="str">
        <x:v>Synthetic benchmark entry; generated clip URL should be filled after API run.</x:v>
      </x:c>
    </x:row>
    <x:row r="549">
      <x:c r="A549" t="str">
        <x:v>S092-Sora-STR</x:v>
      </x:c>
      <x:c r="B549" t="str">
        <x:v>S092</x:v>
      </x:c>
      <x:c r="C549" t="str">
        <x:v>Automotive</x:v>
      </x:c>
      <x:c r="D549" t="str">
        <x:v>interior</x:v>
      </x:c>
      <x:c r="E549" t="str">
        <x:v>installing</x:v>
      </x:c>
      <x:c r="F549" t="n">
        <x:v>2</x:v>
      </x:c>
      <x:c r="G549" t="str">
        <x:v>clip a floor mat onto the retention posts</x:v>
      </x:c>
      <x:c r="H549" t="str">
        <x:v>floor mat</x:v>
      </x:c>
      <x:c r="I549" t="str">
        <x:v>retention posts</x:v>
      </x:c>
      <x:c r="J549" t="str">
        <x:v>Sora 2 Pro</x:v>
      </x:c>
      <x:c r="K549" t="str">
        <x:v>Structured Action-Object-Tool</x:v>
      </x:c>
      <x:c r="L549" t="str">
        <x:v>Action, tool, object, grip, contact point, start/end states.</x:v>
      </x:c>
      <x:c r="M549" t="str">
        <x:v>Close-up realistic instructional DIY video: clip a floor mat onto the retention posts. Show floor mat working on retention posts. Hands visible, stable camera, no text overlay, neutral shop lighting. Action=installing; tool=floor mat; object/material=retention posts; show tool-to-object contact; start state, motion, and finished state all visible.</x:v>
      </x:c>
      <x:c r="N549" s="14" t="n">
        <x:v>8</x:v>
      </x:c>
      <x:c r="O549" s="14" t="n">
        <x:v>100921</x:v>
      </x:c>
      <x:c r="P549" t="str">
        <x:v>R-C</x:v>
      </x:c>
      <x:c r="Q549" s="12" t="n">
        <x:v>4.71</x:v>
      </x:c>
      <x:c r="R549" s="12" t="n">
        <x:v>3.8</x:v>
      </x:c>
      <x:c r="S549" s="12" t="n">
        <x:v>4.32</x:v>
      </x:c>
      <x:c r="T549" s="12" t="n">
        <x:v>4.1</x:v>
      </x:c>
      <x:c r="U549" s="12" t="n">
        <x:v>3.48</x:v>
      </x:c>
      <x:c r="V549" s="12" t="n">
        <x:v>4.49</x:v>
      </x:c>
      <x:c r="W549" s="12" t="n">
        <x:f>ROUND((Q549*0.24)+(R549*0.22)+(S549*0.16)+(T549*0.18)+(U549*0.10)+(V549*0.10),2)</x:f>
        <x:v>4.19</x:v>
      </x:c>
      <x:c r="X549" t="str">
        <x:f>IF(W549&gt;=3.55,"Pass","Fail")</x:f>
        <x:v>Pass</x:v>
      </x:c>
      <x:c r="Y549" t="str">
        <x:v>contact point hidden</x:v>
      </x:c>
      <x:c r="Z549" t="str">
        <x:v>Rater note: Best part is the pacing: it gives enough time to understand installing without turning into a beauty shot. Minor issue: tool rotation is a beat late. The mistake appears late, so a simple thumbnail review would probably miss it. For this automotive example, the main judgment is still whether the viewer can copy the motion.</x:v>
      </x:c>
      <x:c r="AA549" t="str">
        <x:v>Add a one-sentence end-state requirement: viewer must see the completed installing result for one full second.</x:v>
      </x:c>
      <x:c r="AB549" t="str">
        <x:v>Medium</x:v>
      </x:c>
      <x:c r="AC549" t="str"/>
      <x:c r="AD549" t="str">
        <x:v>Synthetic benchmark entry; generated clip URL should be filled after API run.</x:v>
      </x:c>
    </x:row>
    <x:row r="550">
      <x:c r="A550" t="str">
        <x:v>S092-Runway-STR</x:v>
      </x:c>
      <x:c r="B550" t="str">
        <x:v>S092</x:v>
      </x:c>
      <x:c r="C550" t="str">
        <x:v>Automotive</x:v>
      </x:c>
      <x:c r="D550" t="str">
        <x:v>interior</x:v>
      </x:c>
      <x:c r="E550" t="str">
        <x:v>installing</x:v>
      </x:c>
      <x:c r="F550" t="n">
        <x:v>2</x:v>
      </x:c>
      <x:c r="G550" t="str">
        <x:v>clip a floor mat onto the retention posts</x:v>
      </x:c>
      <x:c r="H550" t="str">
        <x:v>floor mat</x:v>
      </x:c>
      <x:c r="I550" t="str">
        <x:v>retention posts</x:v>
      </x:c>
      <x:c r="J550" t="str">
        <x:v>Runway Gen-4.5</x:v>
      </x:c>
      <x:c r="K550" t="str">
        <x:v>Structured Action-Object-Tool</x:v>
      </x:c>
      <x:c r="L550" t="str">
        <x:v>Action, tool, object, grip, contact point, start/end states.</x:v>
      </x:c>
      <x:c r="M550" t="str">
        <x:v>Close-up realistic instructional DIY video: clip a floor mat onto the retention posts. Show floor mat working on retention posts. Hands visible, stable camera, no text overlay, neutral shop lighting. Action=installing; tool=floor mat; object/material=retention posts; show tool-to-object contact; start state, motion, and finished state all visible.</x:v>
      </x:c>
      <x:c r="N550" s="14" t="n">
        <x:v>5</x:v>
      </x:c>
      <x:c r="O550" s="14" t="n">
        <x:v>100922</x:v>
      </x:c>
      <x:c r="P550" t="str">
        <x:v>R-B</x:v>
      </x:c>
      <x:c r="Q550" s="12" t="n">
        <x:v>4.11</x:v>
      </x:c>
      <x:c r="R550" s="12" t="n">
        <x:v>4.18</x:v>
      </x:c>
      <x:c r="S550" s="12" t="n">
        <x:v>4.16</x:v>
      </x:c>
      <x:c r="T550" s="12" t="n">
        <x:v>3.97</x:v>
      </x:c>
      <x:c r="U550" s="12" t="n">
        <x:v>3.72</x:v>
      </x:c>
      <x:c r="V550" s="12" t="n">
        <x:v>3.86</x:v>
      </x:c>
      <x:c r="W550" s="12" t="n">
        <x:f>ROUND((Q550*0.24)+(R550*0.22)+(S550*0.16)+(T550*0.18)+(U550*0.10)+(V550*0.10),2)</x:f>
        <x:v>4.04</x:v>
      </x:c>
      <x:c r="X550" t="str">
        <x:f>IF(W550&gt;=3.55,"Pass","Fail")</x:f>
        <x:v>Pass</x:v>
      </x:c>
      <x:c r="Y550" t="str">
        <x:v>none</x:v>
      </x:c>
      <x:c r="Z550" t="str">
        <x:v>Human check: Looks plausible at first glance. On a second pass, the retention posts shifts slightly and the model seems to infer the outcome rather than show the full installing. The tool silhouette is acceptable; the mechanics are the weak part. For this automotive example, the main judgment is still whether the viewer can copy the motion.</x:v>
      </x:c>
      <x:c r="AA550" t="str">
        <x:v>Use sequential context only for continuity, not for adding previous/next steps into the frame.</x:v>
      </x:c>
      <x:c r="AB550" t="str">
        <x:v>Medium</x:v>
      </x:c>
      <x:c r="AC550" t="str"/>
      <x:c r="AD550" t="str">
        <x:v>Simulated pilot row for planning; replace with blinded ratings after generating actual clips.</x:v>
      </x:c>
    </x:row>
    <x:row r="551">
      <x:c r="A551" t="str">
        <x:v>S092-Kling-STR</x:v>
      </x:c>
      <x:c r="B551" t="str">
        <x:v>S092</x:v>
      </x:c>
      <x:c r="C551" t="str">
        <x:v>Automotive</x:v>
      </x:c>
      <x:c r="D551" t="str">
        <x:v>interior</x:v>
      </x:c>
      <x:c r="E551" t="str">
        <x:v>installing</x:v>
      </x:c>
      <x:c r="F551" t="n">
        <x:v>2</x:v>
      </x:c>
      <x:c r="G551" t="str">
        <x:v>clip a floor mat onto the retention posts</x:v>
      </x:c>
      <x:c r="H551" t="str">
        <x:v>floor mat</x:v>
      </x:c>
      <x:c r="I551" t="str">
        <x:v>retention posts</x:v>
      </x:c>
      <x:c r="J551" t="str">
        <x:v>Kling v3.0 (Replicate)</x:v>
      </x:c>
      <x:c r="K551" t="str">
        <x:v>Structured Action-Object-Tool</x:v>
      </x:c>
      <x:c r="L551" t="str">
        <x:v>Action, tool, object, grip, contact point, start/end states.</x:v>
      </x:c>
      <x:c r="M551" t="str">
        <x:v>Close-up realistic instructional DIY video: clip a floor mat onto the retention posts. Show floor mat working on retention posts. Hands visible, stable camera, no text overlay, neutral shop lighting. Action=installing; tool=floor mat; object/material=retention posts; show tool-to-object contact; start state, motion, and finished state all visible.</x:v>
      </x:c>
      <x:c r="N551" s="14" t="n">
        <x:v>10</x:v>
      </x:c>
      <x:c r="O551" s="14" t="n">
        <x:v>100923</x:v>
      </x:c>
      <x:c r="P551" t="str">
        <x:v>R-C</x:v>
      </x:c>
      <x:c r="Q551" s="12" t="n">
        <x:v>3.82</x:v>
      </x:c>
      <x:c r="R551" s="12" t="n">
        <x:v>3.22</x:v>
      </x:c>
      <x:c r="S551" s="12" t="n">
        <x:v>3.42</x:v>
      </x:c>
      <x:c r="T551" s="12" t="n">
        <x:v>3.74</x:v>
      </x:c>
      <x:c r="U551" s="12" t="n">
        <x:v>3.46</x:v>
      </x:c>
      <x:c r="V551" s="12" t="n">
        <x:v>4.05</x:v>
      </x:c>
      <x:c r="W551" s="12" t="n">
        <x:f>ROUND((Q551*0.24)+(R551*0.22)+(S551*0.16)+(T551*0.18)+(U551*0.10)+(V551*0.10),2)</x:f>
        <x:v>3.6</x:v>
      </x:c>
      <x:c r="X551" t="str">
        <x:f>IF(W551&gt;=3.55,"Pass","Fail")</x:f>
        <x:v>Pass</x:v>
      </x:c>
      <x:c r="Y551" t="str">
        <x:v>action starts too late</x:v>
      </x:c>
      <x:c r="Z551" t="str">
        <x:v>Clip review: I would keep this as a rough candidate. It communicates the step, although the failure mode makes it weaker than a real sourced clip: action starts too late. The issue is subtle visually, but it matters because the clip is supposed to teach the technique. For this automotive example, the main judgment is still whether the viewer can copy the motion.</x:v>
      </x:c>
      <x:c r="AA551" t="str">
        <x:v>Ask for a static close-up and require the floor mat to touch the retention posts before any motion starts.</x:v>
      </x:c>
      <x:c r="AB551" t="str">
        <x:v>Medium-High</x:v>
      </x:c>
      <x:c r="AC551" t="str"/>
      <x:c r="AD551" t="str">
        <x:v>Planning dataset only; scores are plausible placeholders, not vendor claims.</x:v>
      </x:c>
    </x:row>
    <x:row r="552">
      <x:c r="A552" t="str">
        <x:v>S092-Pika-STR</x:v>
      </x:c>
      <x:c r="B552" t="str">
        <x:v>S092</x:v>
      </x:c>
      <x:c r="C552" t="str">
        <x:v>Automotive</x:v>
      </x:c>
      <x:c r="D552" t="str">
        <x:v>interior</x:v>
      </x:c>
      <x:c r="E552" t="str">
        <x:v>installing</x:v>
      </x:c>
      <x:c r="F552" t="n">
        <x:v>2</x:v>
      </x:c>
      <x:c r="G552" t="str">
        <x:v>clip a floor mat onto the retention posts</x:v>
      </x:c>
      <x:c r="H552" t="str">
        <x:v>floor mat</x:v>
      </x:c>
      <x:c r="I552" t="str">
        <x:v>retention posts</x:v>
      </x:c>
      <x:c r="J552" t="str">
        <x:v>Pika 2.2</x:v>
      </x:c>
      <x:c r="K552" t="str">
        <x:v>Structured Action-Object-Tool</x:v>
      </x:c>
      <x:c r="L552" t="str">
        <x:v>Action, tool, object, grip, contact point, start/end states.</x:v>
      </x:c>
      <x:c r="M552" t="str">
        <x:v>Close-up realistic instructional DIY video: clip a floor mat onto the retention posts. Show floor mat working on retention posts. Hands visible, stable camera, no text overlay, neutral shop lighting. Action=installing; tool=floor mat; object/material=retention posts; show tool-to-object contact; start state, motion, and finished state all visible.</x:v>
      </x:c>
      <x:c r="N552" s="14" t="n">
        <x:v>5</x:v>
      </x:c>
      <x:c r="O552" s="14" t="n">
        <x:v>100924</x:v>
      </x:c>
      <x:c r="P552" t="str">
        <x:v>R-C</x:v>
      </x:c>
      <x:c r="Q552" s="12" t="n">
        <x:v>3.84</x:v>
      </x:c>
      <x:c r="R552" s="12" t="n">
        <x:v>3.33</x:v>
      </x:c>
      <x:c r="S552" s="12" t="n">
        <x:v>3.34</x:v>
      </x:c>
      <x:c r="T552" s="12" t="n">
        <x:v>3.66</x:v>
      </x:c>
      <x:c r="U552" s="12" t="n">
        <x:v>3.32</x:v>
      </x:c>
      <x:c r="V552" s="12" t="n">
        <x:v>3.13</x:v>
      </x:c>
      <x:c r="W552" s="12" t="n">
        <x:f>ROUND((Q552*0.24)+(R552*0.22)+(S552*0.16)+(T552*0.18)+(U552*0.10)+(V552*0.10),2)</x:f>
        <x:v>3.49</x:v>
      </x:c>
      <x:c r="X552" t="str">
        <x:f>IF(W552&gt;=3.55,"Pass","Fail")</x:f>
        <x:v>Fail</x:v>
      </x:c>
      <x:c r="Y552" t="str">
        <x:v>object morphs</x:v>
      </x:c>
      <x:c r="Z552" t="str">
        <x:v>Human check: A reviewer would likely reject this. It may be visually attractive, but the tool/object relationship breaks during the important moment. The prompt should prioritize hand path over cinematic lighting. For this automotive example, the main judgment is still whether the viewer can copy the motion.</x:v>
      </x:c>
      <x:c r="AA552" t="str">
        <x:v>Specify the exact contact point and do not allow the hand to cover it.</x:v>
      </x:c>
      <x:c r="AB552" t="str">
        <x:v>Medium</x:v>
      </x:c>
      <x:c r="AC552" t="str"/>
      <x:c r="AD552" t="str">
        <x:v>Simulated pilot row for planning; replace with blinded ratings after generating actual clips.</x:v>
      </x:c>
    </x:row>
    <x:row r="553">
      <x:c r="A553" t="str">
        <x:v>S092-Vidu-STR</x:v>
      </x:c>
      <x:c r="B553" t="str">
        <x:v>S092</x:v>
      </x:c>
      <x:c r="C553" t="str">
        <x:v>Automotive</x:v>
      </x:c>
      <x:c r="D553" t="str">
        <x:v>interior</x:v>
      </x:c>
      <x:c r="E553" t="str">
        <x:v>installing</x:v>
      </x:c>
      <x:c r="F553" t="n">
        <x:v>2</x:v>
      </x:c>
      <x:c r="G553" t="str">
        <x:v>clip a floor mat onto the retention posts</x:v>
      </x:c>
      <x:c r="H553" t="str">
        <x:v>floor mat</x:v>
      </x:c>
      <x:c r="I553" t="str">
        <x:v>retention posts</x:v>
      </x:c>
      <x:c r="J553" t="str">
        <x:v>Vidu 2.0</x:v>
      </x:c>
      <x:c r="K553" t="str">
        <x:v>Structured Action-Object-Tool</x:v>
      </x:c>
      <x:c r="L553" t="str">
        <x:v>Action, tool, object, grip, contact point, start/end states.</x:v>
      </x:c>
      <x:c r="M553" t="str">
        <x:v>Close-up realistic instructional DIY video: clip a floor mat onto the retention posts. Show floor mat working on retention posts. Hands visible, stable camera, no text overlay, neutral shop lighting. Action=installing; tool=floor mat; object/material=retention posts; show tool-to-object contact; start state, motion, and finished state all visible.</x:v>
      </x:c>
      <x:c r="N553" s="14" t="n">
        <x:v>5</x:v>
      </x:c>
      <x:c r="O553" s="14" t="n">
        <x:v>100925</x:v>
      </x:c>
      <x:c r="P553" t="str">
        <x:v>R-B</x:v>
      </x:c>
      <x:c r="Q553" s="12" t="n">
        <x:v>3.4</x:v>
      </x:c>
      <x:c r="R553" s="12" t="n">
        <x:v>3.87</x:v>
      </x:c>
      <x:c r="S553" s="12" t="n">
        <x:v>3.28</x:v>
      </x:c>
      <x:c r="T553" s="12" t="n">
        <x:v>3.58</x:v>
      </x:c>
      <x:c r="U553" s="12" t="n">
        <x:v>3.12</x:v>
      </x:c>
      <x:c r="V553" s="12" t="n">
        <x:v>3.84</x:v>
      </x:c>
      <x:c r="W553" s="12" t="n">
        <x:f>ROUND((Q553*0.24)+(R553*0.22)+(S553*0.16)+(T553*0.18)+(U553*0.10)+(V553*0.10),2)</x:f>
        <x:v>3.53</x:v>
      </x:c>
      <x:c r="X553" t="str">
        <x:f>IF(W553&gt;=3.55,"Pass","Fail")</x:f>
        <x:v>Fail</x:v>
      </x:c>
      <x:c r="Y553" t="str">
        <x:v>action starts too late</x:v>
      </x:c>
      <x:c r="Z553" t="str">
        <x:v>Review note: This should fail the instructional bar. The model gestures toward the task, but the failure mode prevents a learner from trusting the technique: action starts too late. The most important fix is to show the before-and-after state without a cut. For this automotive example, the main judgment is still whether the viewer can copy the motion.</x:v>
      </x:c>
      <x:c r="AA553" t="str">
        <x:v>Break the action into start, contact, movement, and finish; ban extra tools and hand morphing.</x:v>
      </x:c>
      <x:c r="AB553" t="str">
        <x:v>Medium</x:v>
      </x:c>
      <x:c r="AC553" t="str"/>
      <x:c r="AD553" t="str">
        <x:v>Synthetic benchmark entry; generated clip URL should be filled after API run.</x:v>
      </x:c>
    </x:row>
    <x:row r="554">
      <x:c r="A554" t="str">
        <x:v>S093-Veo-MET</x:v>
      </x:c>
      <x:c r="B554" t="str">
        <x:v>S093</x:v>
      </x:c>
      <x:c r="C554" t="str">
        <x:v>Automotive</x:v>
      </x:c>
      <x:c r="D554" t="str">
        <x:v>safety</x:v>
      </x:c>
      <x:c r="E554" t="str">
        <x:v>placing</x:v>
      </x:c>
      <x:c r="F554" t="n">
        <x:v>4</x:v>
      </x:c>
      <x:c r="G554" t="str">
        <x:v>place a wheel chock behind the rear tire before lifting</x:v>
      </x:c>
      <x:c r="H554" t="str">
        <x:v>wheel chock</x:v>
      </x:c>
      <x:c r="I554" t="str">
        <x:v>rear tire</x:v>
      </x:c>
      <x:c r="J554" t="str">
        <x:v>Veo 3.1</x:v>
      </x:c>
      <x:c r="K554" t="str">
        <x:v>Metadata-Enriched</x:v>
      </x:c>
      <x:c r="L554" t="str">
        <x:v>Uses clipDescription, clipSummary, toolNames, suppliesNames, processTechniques, safetyEquipment.</x:v>
      </x:c>
      <x:c r="M554" t="str">
        <x:v>Close-up realistic instructional DIY video: place a wheel chock behind the rear tire before lifting. Show wheel chock working on rear tire. Hands visible, stable camera, no text overlay, neutral shop lighting. clipDescription='place a wheel chock behind the rear tire before lifting'. clipSummary='one practical repair step'. toolNames='wheel chock'. suppliesNames='rear tire'. processTechnique='placing'. Safety cue: use normal homeowner precautions and avoid risky shortcuts.</x:v>
      </x:c>
      <x:c r="N554" s="14" t="n">
        <x:v>8</x:v>
      </x:c>
      <x:c r="O554" s="14" t="n">
        <x:v>100930</x:v>
      </x:c>
      <x:c r="P554" t="str">
        <x:v>R-C</x:v>
      </x:c>
      <x:c r="Q554" s="12" t="n">
        <x:v>4.17</x:v>
      </x:c>
      <x:c r="R554" s="12" t="n">
        <x:v>4.63</x:v>
      </x:c>
      <x:c r="S554" s="12" t="n">
        <x:v>4.95</x:v>
      </x:c>
      <x:c r="T554" s="12" t="n">
        <x:v>3.33</x:v>
      </x:c>
      <x:c r="U554" s="12" t="n">
        <x:v>4.02</x:v>
      </x:c>
      <x:c r="V554" s="12" t="n">
        <x:v>3.91</x:v>
      </x:c>
      <x:c r="W554" s="12" t="n">
        <x:f>ROUND((Q554*0.24)+(R554*0.22)+(S554*0.16)+(T554*0.18)+(U554*0.10)+(V554*0.10),2)</x:f>
        <x:v>4.2</x:v>
      </x:c>
      <x:c r="X554" t="str">
        <x:f>IF(W554&gt;=3.55,"Pass","Fail")</x:f>
        <x:v>Pass</x:v>
      </x:c>
      <x:c r="Y554" t="str">
        <x:v>endpoint not visible</x:v>
      </x:c>
      <x:c r="Z554" t="str">
        <x:v>Review note: Clear enough for a learner. The workpiece does not wander and the camera stays on the rear tire; I would still add a freeze or caption after generation. The prompt should prioritize hand path over cinematic lighting. For this automotive example, the main judgment is still whether the viewer can copy the motion.</x:v>
      </x:c>
      <x:c r="AA554" t="str">
        <x:v>Add a one-sentence end-state requirement: viewer must see the completed placing result for one full second.</x:v>
      </x:c>
      <x:c r="AB554" t="str">
        <x:v>High</x:v>
      </x:c>
      <x:c r="AC554" t="str"/>
      <x:c r="AD554" t="str">
        <x:v>Mock rater record for experiment design; audit against real video outputs before publication.</x:v>
      </x:c>
    </x:row>
    <x:row r="555">
      <x:c r="A555" t="str">
        <x:v>S093-Sora-MET</x:v>
      </x:c>
      <x:c r="B555" t="str">
        <x:v>S093</x:v>
      </x:c>
      <x:c r="C555" t="str">
        <x:v>Automotive</x:v>
      </x:c>
      <x:c r="D555" t="str">
        <x:v>safety</x:v>
      </x:c>
      <x:c r="E555" t="str">
        <x:v>placing</x:v>
      </x:c>
      <x:c r="F555" t="n">
        <x:v>4</x:v>
      </x:c>
      <x:c r="G555" t="str">
        <x:v>place a wheel chock behind the rear tire before lifting</x:v>
      </x:c>
      <x:c r="H555" t="str">
        <x:v>wheel chock</x:v>
      </x:c>
      <x:c r="I555" t="str">
        <x:v>rear tire</x:v>
      </x:c>
      <x:c r="J555" t="str">
        <x:v>Sora 2 Pro</x:v>
      </x:c>
      <x:c r="K555" t="str">
        <x:v>Metadata-Enriched</x:v>
      </x:c>
      <x:c r="L555" t="str">
        <x:v>Uses clipDescription, clipSummary, toolNames, suppliesNames, processTechniques, safetyEquipment.</x:v>
      </x:c>
      <x:c r="M555" t="str">
        <x:v>Close-up realistic instructional DIY video: place a wheel chock behind the rear tire before lifting. Show wheel chock working on rear tire. Hands visible, stable camera, no text overlay, neutral shop lighting. clipDescription='place a wheel chock behind the rear tire before lifting'. clipSummary='one practical repair step'. toolNames='wheel chock'. suppliesNames='rear tire'. processTechnique='placing'. Safety cue: use normal homeowner precautions and avoid risky shortcuts.</x:v>
      </x:c>
      <x:c r="N555" s="14" t="n">
        <x:v>8</x:v>
      </x:c>
      <x:c r="O555" s="14" t="n">
        <x:v>100931</x:v>
      </x:c>
      <x:c r="P555" t="str">
        <x:v>R-E</x:v>
      </x:c>
      <x:c r="Q555" s="12" t="n">
        <x:v>3.94</x:v>
      </x:c>
      <x:c r="R555" s="12" t="n">
        <x:v>3.88</x:v>
      </x:c>
      <x:c r="S555" s="12" t="n">
        <x:v>4.14</x:v>
      </x:c>
      <x:c r="T555" s="12" t="n">
        <x:v>3.99</x:v>
      </x:c>
      <x:c r="U555" s="12" t="n">
        <x:v>3.81</x:v>
      </x:c>
      <x:c r="V555" s="12" t="n">
        <x:v>4.45</x:v>
      </x:c>
      <x:c r="W555" s="12" t="n">
        <x:f>ROUND((Q555*0.24)+(R555*0.22)+(S555*0.16)+(T555*0.18)+(U555*0.10)+(V555*0.10),2)</x:f>
        <x:v>4.01</x:v>
      </x:c>
      <x:c r="X555" t="str">
        <x:f>IF(W555&gt;=3.55,"Pass","Fail")</x:f>
        <x:v>Pass</x:v>
      </x:c>
      <x:c r="Y555" t="str">
        <x:v>none</x:v>
      </x:c>
      <x:c r="Z555" t="str">
        <x:v>QA note: The intention is clear, especially if you already know the step. A novice might miss the key detail because this issue appears right where the action should be most explicit: none. This reads better as a teaser than as an instructional clip. For this automotive example, the main judgment is still whether the viewer can copy the motion.</x:v>
      </x:c>
      <x:c r="AA555" t="str">
        <x:v>Use sequential context only for continuity, not for adding previous/next steps into the frame.</x:v>
      </x:c>
      <x:c r="AB555" t="str">
        <x:v>Medium</x:v>
      </x:c>
      <x:c r="AC555" t="str"/>
      <x:c r="AD555" t="str">
        <x:v>Planning dataset only; scores are plausible placeholders, not vendor claims.</x:v>
      </x:c>
    </x:row>
    <x:row r="556">
      <x:c r="A556" t="str">
        <x:v>S093-Runway-MET</x:v>
      </x:c>
      <x:c r="B556" t="str">
        <x:v>S093</x:v>
      </x:c>
      <x:c r="C556" t="str">
        <x:v>Automotive</x:v>
      </x:c>
      <x:c r="D556" t="str">
        <x:v>safety</x:v>
      </x:c>
      <x:c r="E556" t="str">
        <x:v>placing</x:v>
      </x:c>
      <x:c r="F556" t="n">
        <x:v>4</x:v>
      </x:c>
      <x:c r="G556" t="str">
        <x:v>place a wheel chock behind the rear tire before lifting</x:v>
      </x:c>
      <x:c r="H556" t="str">
        <x:v>wheel chock</x:v>
      </x:c>
      <x:c r="I556" t="str">
        <x:v>rear tire</x:v>
      </x:c>
      <x:c r="J556" t="str">
        <x:v>Runway Gen-4.5</x:v>
      </x:c>
      <x:c r="K556" t="str">
        <x:v>Metadata-Enriched</x:v>
      </x:c>
      <x:c r="L556" t="str">
        <x:v>Uses clipDescription, clipSummary, toolNames, suppliesNames, processTechniques, safetyEquipment.</x:v>
      </x:c>
      <x:c r="M556" t="str">
        <x:v>Close-up realistic instructional DIY video: place a wheel chock behind the rear tire before lifting. Show wheel chock working on rear tire. Hands visible, stable camera, no text overlay, neutral shop lighting. clipDescription='place a wheel chock behind the rear tire before lifting'. clipSummary='one practical repair step'. toolNames='wheel chock'. suppliesNames='rear tire'. processTechnique='placing'. Safety cue: use normal homeowner precautions and avoid risky shortcuts.</x:v>
      </x:c>
      <x:c r="N556" s="14" t="n">
        <x:v>5</x:v>
      </x:c>
      <x:c r="O556" s="14" t="n">
        <x:v>100932</x:v>
      </x:c>
      <x:c r="P556" t="str">
        <x:v>R-D</x:v>
      </x:c>
      <x:c r="Q556" s="12" t="n">
        <x:v>4.23</x:v>
      </x:c>
      <x:c r="R556" s="12" t="n">
        <x:v>3.48</x:v>
      </x:c>
      <x:c r="S556" s="12" t="n">
        <x:v>3.56</x:v>
      </x:c>
      <x:c r="T556" s="12" t="n">
        <x:v>3.26</x:v>
      </x:c>
      <x:c r="U556" s="12" t="n">
        <x:v>3.66</x:v>
      </x:c>
      <x:c r="V556" s="12" t="n">
        <x:v>3.58</x:v>
      </x:c>
      <x:c r="W556" s="12" t="n">
        <x:f>ROUND((Q556*0.24)+(R556*0.22)+(S556*0.16)+(T556*0.18)+(U556*0.10)+(V556*0.10),2)</x:f>
        <x:v>3.66</x:v>
      </x:c>
      <x:c r="X556" t="str">
        <x:f>IF(W556&gt;=3.55,"Pass","Fail")</x:f>
        <x:v>Pass</x:v>
      </x:c>
      <x:c r="Y556" t="str">
        <x:v>object morphs</x:v>
      </x:c>
      <x:c r="Z556" t="str">
        <x:v>Rater note: Looks plausible at first glance. On a second pass, the rear tire shifts slightly and the model seems to infer the outcome rather than show the full placing. This reads better as a teaser than as an instructional clip. For this automotive example, the main judgment is still whether the viewer can copy the motion.</x:v>
      </x:c>
      <x:c r="AA556" t="str">
        <x:v>Specify the exact contact point and do not allow the hand to cover it.</x:v>
      </x:c>
      <x:c r="AB556" t="str">
        <x:v>High</x:v>
      </x:c>
      <x:c r="AC556" t="str"/>
      <x:c r="AD556" t="str">
        <x:v>Planning dataset only; scores are plausible placeholders, not vendor claims.</x:v>
      </x:c>
    </x:row>
    <x:row r="557">
      <x:c r="A557" t="str">
        <x:v>S093-Kling-MET</x:v>
      </x:c>
      <x:c r="B557" t="str">
        <x:v>S093</x:v>
      </x:c>
      <x:c r="C557" t="str">
        <x:v>Automotive</x:v>
      </x:c>
      <x:c r="D557" t="str">
        <x:v>safety</x:v>
      </x:c>
      <x:c r="E557" t="str">
        <x:v>placing</x:v>
      </x:c>
      <x:c r="F557" t="n">
        <x:v>4</x:v>
      </x:c>
      <x:c r="G557" t="str">
        <x:v>place a wheel chock behind the rear tire before lifting</x:v>
      </x:c>
      <x:c r="H557" t="str">
        <x:v>wheel chock</x:v>
      </x:c>
      <x:c r="I557" t="str">
        <x:v>rear tire</x:v>
      </x:c>
      <x:c r="J557" t="str">
        <x:v>Kling v3.0 (Replicate)</x:v>
      </x:c>
      <x:c r="K557" t="str">
        <x:v>Metadata-Enriched</x:v>
      </x:c>
      <x:c r="L557" t="str">
        <x:v>Uses clipDescription, clipSummary, toolNames, suppliesNames, processTechniques, safetyEquipment.</x:v>
      </x:c>
      <x:c r="M557" t="str">
        <x:v>Close-up realistic instructional DIY video: place a wheel chock behind the rear tire before lifting. Show wheel chock working on rear tire. Hands visible, stable camera, no text overlay, neutral shop lighting. clipDescription='place a wheel chock behind the rear tire before lifting'. clipSummary='one practical repair step'. toolNames='wheel chock'. suppliesNames='rear tire'. processTechnique='placing'. Safety cue: use normal homeowner precautions and avoid risky shortcuts.</x:v>
      </x:c>
      <x:c r="N557" s="14" t="n">
        <x:v>10</x:v>
      </x:c>
      <x:c r="O557" s="14" t="n">
        <x:v>100933</x:v>
      </x:c>
      <x:c r="P557" t="str">
        <x:v>R-C</x:v>
      </x:c>
      <x:c r="Q557" s="12" t="n">
        <x:v>3.8</x:v>
      </x:c>
      <x:c r="R557" s="12" t="n">
        <x:v>4.34</x:v>
      </x:c>
      <x:c r="S557" s="12" t="n">
        <x:v>3.63</x:v>
      </x:c>
      <x:c r="T557" s="12" t="n">
        <x:v>3.89</x:v>
      </x:c>
      <x:c r="U557" s="12" t="n">
        <x:v>3.14</x:v>
      </x:c>
      <x:c r="V557" s="12" t="n">
        <x:v>3.97</x:v>
      </x:c>
      <x:c r="W557" s="12" t="n">
        <x:f>ROUND((Q557*0.24)+(R557*0.22)+(S557*0.16)+(T557*0.18)+(U557*0.10)+(V557*0.10),2)</x:f>
        <x:v>3.86</x:v>
      </x:c>
      <x:c r="X557" t="str">
        <x:f>IF(W557&gt;=3.55,"Pass","Fail")</x:f>
        <x:v>Pass</x:v>
      </x:c>
      <x:c r="Y557" t="str">
        <x:v>minor continuity jump</x:v>
      </x:c>
      <x:c r="Z557" t="str">
        <x:v>Rater note: The clip has the right ingredients but not quite the right mechanics. It needs a tighter prompt about grip, contact, and the end position. This would be safer as a reference-aided run than a text-only run. For this automotive example, the main judgment is still whether the viewer can copy the motion.</x:v>
      </x:c>
      <x:c r="AA557" t="str">
        <x:v>Use a reference image for the wheel chock and specify its grip/orientation in plain language.</x:v>
      </x:c>
      <x:c r="AB557" t="str">
        <x:v>Medium</x:v>
      </x:c>
      <x:c r="AC557" t="str"/>
      <x:c r="AD557" t="str">
        <x:v>Synthetic benchmark entry; generated clip URL should be filled after API run.</x:v>
      </x:c>
    </x:row>
    <x:row r="558">
      <x:c r="A558" t="str">
        <x:v>S093-Pika-MET</x:v>
      </x:c>
      <x:c r="B558" t="str">
        <x:v>S093</x:v>
      </x:c>
      <x:c r="C558" t="str">
        <x:v>Automotive</x:v>
      </x:c>
      <x:c r="D558" t="str">
        <x:v>safety</x:v>
      </x:c>
      <x:c r="E558" t="str">
        <x:v>placing</x:v>
      </x:c>
      <x:c r="F558" t="n">
        <x:v>4</x:v>
      </x:c>
      <x:c r="G558" t="str">
        <x:v>place a wheel chock behind the rear tire before lifting</x:v>
      </x:c>
      <x:c r="H558" t="str">
        <x:v>wheel chock</x:v>
      </x:c>
      <x:c r="I558" t="str">
        <x:v>rear tire</x:v>
      </x:c>
      <x:c r="J558" t="str">
        <x:v>Pika 2.2</x:v>
      </x:c>
      <x:c r="K558" t="str">
        <x:v>Metadata-Enriched</x:v>
      </x:c>
      <x:c r="L558" t="str">
        <x:v>Uses clipDescription, clipSummary, toolNames, suppliesNames, processTechniques, safetyEquipment.</x:v>
      </x:c>
      <x:c r="M558" t="str">
        <x:v>Close-up realistic instructional DIY video: place a wheel chock behind the rear tire before lifting. Show wheel chock working on rear tire. Hands visible, stable camera, no text overlay, neutral shop lighting. clipDescription='place a wheel chock behind the rear tire before lifting'. clipSummary='one practical repair step'. toolNames='wheel chock'. suppliesNames='rear tire'. processTechnique='placing'. Safety cue: use normal homeowner precautions and avoid risky shortcuts.</x:v>
      </x:c>
      <x:c r="N558" s="14" t="n">
        <x:v>5</x:v>
      </x:c>
      <x:c r="O558" s="14" t="n">
        <x:v>100934</x:v>
      </x:c>
      <x:c r="P558" t="str">
        <x:v>R-E</x:v>
      </x:c>
      <x:c r="Q558" s="12" t="n">
        <x:v>3.14</x:v>
      </x:c>
      <x:c r="R558" s="12" t="n">
        <x:v>3.11</x:v>
      </x:c>
      <x:c r="S558" s="12" t="n">
        <x:v>3.07</x:v>
      </x:c>
      <x:c r="T558" s="12" t="n">
        <x:v>3.05</x:v>
      </x:c>
      <x:c r="U558" s="12" t="n">
        <x:v>2.93</x:v>
      </x:c>
      <x:c r="V558" s="12" t="n">
        <x:v>3.27</x:v>
      </x:c>
      <x:c r="W558" s="12" t="n">
        <x:f>ROUND((Q558*0.24)+(R558*0.22)+(S558*0.16)+(T558*0.18)+(U558*0.10)+(V558*0.10),2)</x:f>
        <x:v>3.1</x:v>
      </x:c>
      <x:c r="X558" t="str">
        <x:f>IF(W558&gt;=3.55,"Pass","Fail")</x:f>
        <x:v>Fail</x:v>
      </x:c>
      <x:c r="Y558" t="str">
        <x:v>object morphs</x:v>
      </x:c>
      <x:c r="Z558" t="str">
        <x:v>Human check: A reviewer would likely reject this. It may be visually attractive, but the tool/object relationship breaks during the important moment. I would keep the same camera angle but ask for a tighter view of the contact point. For this automotive example, the main judgment is still whether the viewer can copy the motion.</x:v>
      </x:c>
      <x:c r="AA558" t="str">
        <x:v>Move safety language earlier in the prompt and remove cinematic camera instructions.</x:v>
      </x:c>
      <x:c r="AB558" t="str">
        <x:v>Medium</x:v>
      </x:c>
      <x:c r="AC558" t="str"/>
      <x:c r="AD558" t="str">
        <x:v>Mock rater record for experiment design; audit against real video outputs before publication.</x:v>
      </x:c>
    </x:row>
    <x:row r="559">
      <x:c r="A559" t="str">
        <x:v>S093-Vidu-MET</x:v>
      </x:c>
      <x:c r="B559" t="str">
        <x:v>S093</x:v>
      </x:c>
      <x:c r="C559" t="str">
        <x:v>Automotive</x:v>
      </x:c>
      <x:c r="D559" t="str">
        <x:v>safety</x:v>
      </x:c>
      <x:c r="E559" t="str">
        <x:v>placing</x:v>
      </x:c>
      <x:c r="F559" t="n">
        <x:v>4</x:v>
      </x:c>
      <x:c r="G559" t="str">
        <x:v>place a wheel chock behind the rear tire before lifting</x:v>
      </x:c>
      <x:c r="H559" t="str">
        <x:v>wheel chock</x:v>
      </x:c>
      <x:c r="I559" t="str">
        <x:v>rear tire</x:v>
      </x:c>
      <x:c r="J559" t="str">
        <x:v>Vidu 2.0</x:v>
      </x:c>
      <x:c r="K559" t="str">
        <x:v>Metadata-Enriched</x:v>
      </x:c>
      <x:c r="L559" t="str">
        <x:v>Uses clipDescription, clipSummary, toolNames, suppliesNames, processTechniques, safetyEquipment.</x:v>
      </x:c>
      <x:c r="M559" t="str">
        <x:v>Close-up realistic instructional DIY video: place a wheel chock behind the rear tire before lifting. Show wheel chock working on rear tire. Hands visible, stable camera, no text overlay, neutral shop lighting. clipDescription='place a wheel chock behind the rear tire before lifting'. clipSummary='one practical repair step'. toolNames='wheel chock'. suppliesNames='rear tire'. processTechnique='placing'. Safety cue: use normal homeowner precautions and avoid risky shortcuts.</x:v>
      </x:c>
      <x:c r="N559" s="14" t="n">
        <x:v>5</x:v>
      </x:c>
      <x:c r="O559" s="14" t="n">
        <x:v>100935</x:v>
      </x:c>
      <x:c r="P559" t="str">
        <x:v>R-A</x:v>
      </x:c>
      <x:c r="Q559" s="12" t="n">
        <x:v>3.47</x:v>
      </x:c>
      <x:c r="R559" s="12" t="n">
        <x:v>2.65</x:v>
      </x:c>
      <x:c r="S559" s="12" t="n">
        <x:v>2.99</x:v>
      </x:c>
      <x:c r="T559" s="12" t="n">
        <x:v>3.46</x:v>
      </x:c>
      <x:c r="U559" s="12" t="n">
        <x:v>3.23</x:v>
      </x:c>
      <x:c r="V559" s="12" t="n">
        <x:v>3.01</x:v>
      </x:c>
      <x:c r="W559" s="12" t="n">
        <x:f>ROUND((Q559*0.24)+(R559*0.22)+(S559*0.16)+(T559*0.18)+(U559*0.10)+(V559*0.10),2)</x:f>
        <x:v>3.14</x:v>
      </x:c>
      <x:c r="X559" t="str">
        <x:f>IF(W559&gt;=3.55,"Pass","Fail")</x:f>
        <x:v>Fail</x:v>
      </x:c>
      <x:c r="Y559" t="str">
        <x:v>over-stylized texture</x:v>
      </x:c>
      <x:c r="Z559" t="str">
        <x:v>Human check: Too much is being implied. The wheel chock and rear tire are in the scene, but the motion does not demonstrate the actual repair step. This would be safer as a reference-aided run than a text-only run. For this automotive example, the main judgment is still whether the viewer can copy the motion.</x:v>
      </x:c>
      <x:c r="AA559" t="str">
        <x:v>Use a reference image for the wheel chock and specify its grip/orientation in plain language.</x:v>
      </x:c>
      <x:c r="AB559" t="str">
        <x:v>Medium-High</x:v>
      </x:c>
      <x:c r="AC559" t="str"/>
      <x:c r="AD559" t="str">
        <x:v>Mock rater record for experiment design; audit against real video outputs before publication.</x:v>
      </x:c>
    </x:row>
    <x:row r="560">
      <x:c r="A560" t="str">
        <x:v>S094-Veo-REF</x:v>
      </x:c>
      <x:c r="B560" t="str">
        <x:v>S094</x:v>
      </x:c>
      <x:c r="C560" t="str">
        <x:v>Automotive</x:v>
      </x:c>
      <x:c r="D560" t="str">
        <x:v>jacking</x:v>
      </x:c>
      <x:c r="E560" t="str">
        <x:v>positioning</x:v>
      </x:c>
      <x:c r="F560" t="n">
        <x:v>5</x:v>
      </x:c>
      <x:c r="G560" t="str">
        <x:v>position a floor jack under the factory pinch weld</x:v>
      </x:c>
      <x:c r="H560" t="str">
        <x:v>floor jack</x:v>
      </x:c>
      <x:c r="I560" t="str">
        <x:v>pinch weld lift point</x:v>
      </x:c>
      <x:c r="J560" t="str">
        <x:v>Veo 3.1</x:v>
      </x:c>
      <x:c r="K560" t="str">
        <x:v>Reference-Guided</x:v>
      </x:c>
      <x:c r="L560" t="str">
        <x:v>Adds reference-tool/image cue and brand-agnostic visual constraints.</x:v>
      </x:c>
      <x:c r="M560" t="str">
        <x:v>Close-up realistic instructional DIY video: position a floor jack under the factory pinch weld. Show floor jack working on pinch weld lift point. Hands visible, stable camera, no text overlay, neutral shop lighting. Use a generic, brand-agnostic visual reference for the floor jack; preserve the tool shape and scale; the floor jack must remain in contact with pinch weld lift point during the key motion.</x:v>
      </x:c>
      <x:c r="N560" s="14" t="n">
        <x:v>8</x:v>
      </x:c>
      <x:c r="O560" s="14" t="n">
        <x:v>100940</x:v>
      </x:c>
      <x:c r="P560" t="str">
        <x:v>R-D</x:v>
      </x:c>
      <x:c r="Q560" s="12" t="n">
        <x:v>4.34</x:v>
      </x:c>
      <x:c r="R560" s="12" t="n">
        <x:v>3.78</x:v>
      </x:c>
      <x:c r="S560" s="12" t="n">
        <x:v>3.99</x:v>
      </x:c>
      <x:c r="T560" s="12" t="n">
        <x:v>3.94</x:v>
      </x:c>
      <x:c r="U560" s="12" t="n">
        <x:v>4.07</x:v>
      </x:c>
      <x:c r="V560" s="12" t="n">
        <x:v>4.1</x:v>
      </x:c>
      <x:c r="W560" s="12" t="n">
        <x:f>ROUND((Q560*0.24)+(R560*0.22)+(S560*0.16)+(T560*0.18)+(U560*0.10)+(V560*0.10),2)</x:f>
        <x:v>4.04</x:v>
      </x:c>
      <x:c r="X560" t="str">
        <x:f>IF(W560&gt;=3.55,"Pass","Fail")</x:f>
        <x:v>Pass</x:v>
      </x:c>
      <x:c r="Y560" t="str">
        <x:v>motion slightly compressed</x:v>
      </x:c>
      <x:c r="Z560" t="str">
        <x:v>Clip review: I would keep this as a rough candidate. It communicates the step, although the failure mode makes it weaker than a real sourced clip: motion slightly compressed. This reads better as a teaser than as an instructional clip. For this automotive example, the main judgment is still whether the viewer can copy the motion.</x:v>
      </x:c>
      <x:c r="AA560" t="str">
        <x:v>Use a reference image for the floor jack and specify its grip/orientation in plain language.</x:v>
      </x:c>
      <x:c r="AB560" t="str">
        <x:v>Medium</x:v>
      </x:c>
      <x:c r="AC560" t="str"/>
      <x:c r="AD560" t="str">
        <x:v>Synthetic benchmark entry; generated clip URL should be filled after API run.</x:v>
      </x:c>
    </x:row>
    <x:row r="561">
      <x:c r="A561" t="str">
        <x:v>S094-Sora-REF</x:v>
      </x:c>
      <x:c r="B561" t="str">
        <x:v>S094</x:v>
      </x:c>
      <x:c r="C561" t="str">
        <x:v>Automotive</x:v>
      </x:c>
      <x:c r="D561" t="str">
        <x:v>jacking</x:v>
      </x:c>
      <x:c r="E561" t="str">
        <x:v>positioning</x:v>
      </x:c>
      <x:c r="F561" t="n">
        <x:v>5</x:v>
      </x:c>
      <x:c r="G561" t="str">
        <x:v>position a floor jack under the factory pinch weld</x:v>
      </x:c>
      <x:c r="H561" t="str">
        <x:v>floor jack</x:v>
      </x:c>
      <x:c r="I561" t="str">
        <x:v>pinch weld lift point</x:v>
      </x:c>
      <x:c r="J561" t="str">
        <x:v>Sora 2 Pro</x:v>
      </x:c>
      <x:c r="K561" t="str">
        <x:v>Reference-Guided</x:v>
      </x:c>
      <x:c r="L561" t="str">
        <x:v>Adds reference-tool/image cue and brand-agnostic visual constraints.</x:v>
      </x:c>
      <x:c r="M561" t="str">
        <x:v>Close-up realistic instructional DIY video: position a floor jack under the factory pinch weld. Show floor jack working on pinch weld lift point. Hands visible, stable camera, no text overlay, neutral shop lighting. Use a generic, brand-agnostic visual reference for the floor jack; preserve the tool shape and scale; the floor jack must remain in contact with pinch weld lift point during the key motion.</x:v>
      </x:c>
      <x:c r="N561" s="14" t="n">
        <x:v>8</x:v>
      </x:c>
      <x:c r="O561" s="14" t="n">
        <x:v>100941</x:v>
      </x:c>
      <x:c r="P561" t="str">
        <x:v>R-B</x:v>
      </x:c>
      <x:c r="Q561" s="12" t="n">
        <x:v>3.68</x:v>
      </x:c>
      <x:c r="R561" s="12" t="n">
        <x:v>4.07</x:v>
      </x:c>
      <x:c r="S561" s="12" t="n">
        <x:v>4.31</x:v>
      </x:c>
      <x:c r="T561" s="12" t="n">
        <x:v>3.82</x:v>
      </x:c>
      <x:c r="U561" s="12" t="n">
        <x:v>4.02</x:v>
      </x:c>
      <x:c r="V561" s="12" t="n">
        <x:v>4.06</x:v>
      </x:c>
      <x:c r="W561" s="12" t="n">
        <x:f>ROUND((Q561*0.24)+(R561*0.22)+(S561*0.16)+(T561*0.18)+(U561*0.10)+(V561*0.10),2)</x:f>
        <x:v>3.96</x:v>
      </x:c>
      <x:c r="X561" t="str">
        <x:f>IF(W561&gt;=3.55,"Pass","Fail")</x:f>
        <x:v>Pass</x:v>
      </x:c>
      <x:c r="Y561" t="str">
        <x:v>tool pose a little soft</x:v>
      </x:c>
      <x:c r="Z561" t="str">
        <x:v>QA note: The intention is clear, especially if you already know the step. A novice might miss the key detail because this issue appears right where the action should be most explicit: tool pose a little soft. This reads better as a teaser than as an instructional clip. For this automotive example, the main judgment is still whether the viewer can copy the motion.</x:v>
      </x:c>
      <x:c r="AA561" t="str">
        <x:v>Specify the exact contact point and do not allow the hand to cover it.</x:v>
      </x:c>
      <x:c r="AB561" t="str">
        <x:v>Medium</x:v>
      </x:c>
      <x:c r="AC561" t="str"/>
      <x:c r="AD561" t="str">
        <x:v>Simulated pilot row for planning; replace with blinded ratings after generating actual clips.</x:v>
      </x:c>
    </x:row>
    <x:row r="562">
      <x:c r="A562" t="str">
        <x:v>S094-Runway-REF</x:v>
      </x:c>
      <x:c r="B562" t="str">
        <x:v>S094</x:v>
      </x:c>
      <x:c r="C562" t="str">
        <x:v>Automotive</x:v>
      </x:c>
      <x:c r="D562" t="str">
        <x:v>jacking</x:v>
      </x:c>
      <x:c r="E562" t="str">
        <x:v>positioning</x:v>
      </x:c>
      <x:c r="F562" t="n">
        <x:v>5</x:v>
      </x:c>
      <x:c r="G562" t="str">
        <x:v>position a floor jack under the factory pinch weld</x:v>
      </x:c>
      <x:c r="H562" t="str">
        <x:v>floor jack</x:v>
      </x:c>
      <x:c r="I562" t="str">
        <x:v>pinch weld lift point</x:v>
      </x:c>
      <x:c r="J562" t="str">
        <x:v>Runway Gen-4.5</x:v>
      </x:c>
      <x:c r="K562" t="str">
        <x:v>Reference-Guided</x:v>
      </x:c>
      <x:c r="L562" t="str">
        <x:v>Adds reference-tool/image cue and brand-agnostic visual constraints.</x:v>
      </x:c>
      <x:c r="M562" t="str">
        <x:v>Close-up realistic instructional DIY video: position a floor jack under the factory pinch weld. Show floor jack working on pinch weld lift point. Hands visible, stable camera, no text overlay, neutral shop lighting. Use a generic, brand-agnostic visual reference for the floor jack; preserve the tool shape and scale; the floor jack must remain in contact with pinch weld lift point during the key motion.</x:v>
      </x:c>
      <x:c r="N562" s="14" t="n">
        <x:v>5</x:v>
      </x:c>
      <x:c r="O562" s="14" t="n">
        <x:v>100942</x:v>
      </x:c>
      <x:c r="P562" t="str">
        <x:v>R-D</x:v>
      </x:c>
      <x:c r="Q562" s="12" t="n">
        <x:v>4.03</x:v>
      </x:c>
      <x:c r="R562" s="12" t="n">
        <x:v>3.87</x:v>
      </x:c>
      <x:c r="S562" s="12" t="n">
        <x:v>3.47</x:v>
      </x:c>
      <x:c r="T562" s="12" t="n">
        <x:v>4.13</x:v>
      </x:c>
      <x:c r="U562" s="12" t="n">
        <x:v>3.94</x:v>
      </x:c>
      <x:c r="V562" s="12" t="n">
        <x:v>3.61</x:v>
      </x:c>
      <x:c r="W562" s="12" t="n">
        <x:f>ROUND((Q562*0.24)+(R562*0.22)+(S562*0.16)+(T562*0.18)+(U562*0.10)+(V562*0.10),2)</x:f>
        <x:v>3.87</x:v>
      </x:c>
      <x:c r="X562" t="str">
        <x:f>IF(W562&gt;=3.55,"Pass","Fail")</x:f>
        <x:v>Pass</x:v>
      </x:c>
      <x:c r="Y562" t="str">
        <x:v>none</x:v>
      </x:c>
      <x:c r="Z562" t="str">
        <x:v>Rater note: I would keep this as a rough candidate. It communicates the step, although the failure mode makes it weaker than a real sourced clip: none. I would keep the same camera angle but ask for a tighter view of the contact point. For this automotive example, the main judgment is still whether the viewer can copy the motion.</x:v>
      </x:c>
      <x:c r="AA562" t="str">
        <x:v>Break the action into start, contact, movement, and finish; ban extra tools and hand morphing.</x:v>
      </x:c>
      <x:c r="AB562" t="str">
        <x:v>High</x:v>
      </x:c>
      <x:c r="AC562" t="str"/>
      <x:c r="AD562" t="str">
        <x:v>Simulated pilot row for planning; replace with blinded ratings after generating actual clips.</x:v>
      </x:c>
    </x:row>
    <x:row r="563">
      <x:c r="A563" t="str">
        <x:v>S094-Kling-REF</x:v>
      </x:c>
      <x:c r="B563" t="str">
        <x:v>S094</x:v>
      </x:c>
      <x:c r="C563" t="str">
        <x:v>Automotive</x:v>
      </x:c>
      <x:c r="D563" t="str">
        <x:v>jacking</x:v>
      </x:c>
      <x:c r="E563" t="str">
        <x:v>positioning</x:v>
      </x:c>
      <x:c r="F563" t="n">
        <x:v>5</x:v>
      </x:c>
      <x:c r="G563" t="str">
        <x:v>position a floor jack under the factory pinch weld</x:v>
      </x:c>
      <x:c r="H563" t="str">
        <x:v>floor jack</x:v>
      </x:c>
      <x:c r="I563" t="str">
        <x:v>pinch weld lift point</x:v>
      </x:c>
      <x:c r="J563" t="str">
        <x:v>Kling v3.0 (Replicate)</x:v>
      </x:c>
      <x:c r="K563" t="str">
        <x:v>Reference-Guided</x:v>
      </x:c>
      <x:c r="L563" t="str">
        <x:v>Adds reference-tool/image cue and brand-agnostic visual constraints.</x:v>
      </x:c>
      <x:c r="M563" t="str">
        <x:v>Close-up realistic instructional DIY video: position a floor jack under the factory pinch weld. Show floor jack working on pinch weld lift point. Hands visible, stable camera, no text overlay, neutral shop lighting. Use a generic, brand-agnostic visual reference for the floor jack; preserve the tool shape and scale; the floor jack must remain in contact with pinch weld lift point during the key motion.</x:v>
      </x:c>
      <x:c r="N563" s="14" t="n">
        <x:v>10</x:v>
      </x:c>
      <x:c r="O563" s="14" t="n">
        <x:v>100943</x:v>
      </x:c>
      <x:c r="P563" t="str">
        <x:v>R-D</x:v>
      </x:c>
      <x:c r="Q563" s="12" t="n">
        <x:v>3.23</x:v>
      </x:c>
      <x:c r="R563" s="12" t="n">
        <x:v>3.66</x:v>
      </x:c>
      <x:c r="S563" s="12" t="n">
        <x:v>4.57</x:v>
      </x:c>
      <x:c r="T563" s="12" t="n">
        <x:v>3.65</x:v>
      </x:c>
      <x:c r="U563" s="12" t="n">
        <x:v>3.12</x:v>
      </x:c>
      <x:c r="V563" s="12" t="n">
        <x:v>3.51</x:v>
      </x:c>
      <x:c r="W563" s="12" t="n">
        <x:f>ROUND((Q563*0.24)+(R563*0.22)+(S563*0.16)+(T563*0.18)+(U563*0.10)+(V563*0.10),2)</x:f>
        <x:v>3.63</x:v>
      </x:c>
      <x:c r="X563" t="str">
        <x:f>IF(W563&gt;=3.55,"Pass","Fail")</x:f>
        <x:v>Pass</x:v>
      </x:c>
      <x:c r="Y563" t="str">
        <x:v>thread direction unclear</x:v>
      </x:c>
      <x:c r="Z563" t="str">
        <x:v>Rater note: Usable, but I would not show it without review. The floor jack is recognizable, yet the exact contact point is hard to see when the hand crosses the frame. This reads better as a teaser than as an instructional clip. For this automotive example, the main judgment is still whether the viewer can copy the motion.</x:v>
      </x:c>
      <x:c r="AA563" t="str">
        <x:v>Break the action into start, contact, movement, and finish; ban extra tools and hand morphing.</x:v>
      </x:c>
      <x:c r="AB563" t="str">
        <x:v>High</x:v>
      </x:c>
      <x:c r="AC563" t="str"/>
      <x:c r="AD563" t="str">
        <x:v>Planning dataset only; scores are plausible placeholders, not vendor claims.</x:v>
      </x:c>
    </x:row>
    <x:row r="564">
      <x:c r="A564" t="str">
        <x:v>S094-Pika-REF</x:v>
      </x:c>
      <x:c r="B564" t="str">
        <x:v>S094</x:v>
      </x:c>
      <x:c r="C564" t="str">
        <x:v>Automotive</x:v>
      </x:c>
      <x:c r="D564" t="str">
        <x:v>jacking</x:v>
      </x:c>
      <x:c r="E564" t="str">
        <x:v>positioning</x:v>
      </x:c>
      <x:c r="F564" t="n">
        <x:v>5</x:v>
      </x:c>
      <x:c r="G564" t="str">
        <x:v>position a floor jack under the factory pinch weld</x:v>
      </x:c>
      <x:c r="H564" t="str">
        <x:v>floor jack</x:v>
      </x:c>
      <x:c r="I564" t="str">
        <x:v>pinch weld lift point</x:v>
      </x:c>
      <x:c r="J564" t="str">
        <x:v>Pika 2.2</x:v>
      </x:c>
      <x:c r="K564" t="str">
        <x:v>Reference-Guided</x:v>
      </x:c>
      <x:c r="L564" t="str">
        <x:v>Adds reference-tool/image cue and brand-agnostic visual constraints.</x:v>
      </x:c>
      <x:c r="M564" t="str">
        <x:v>Close-up realistic instructional DIY video: position a floor jack under the factory pinch weld. Show floor jack working on pinch weld lift point. Hands visible, stable camera, no text overlay, neutral shop lighting. Use a generic, brand-agnostic visual reference for the floor jack; preserve the tool shape and scale; the floor jack must remain in contact with pinch weld lift point during the key motion.</x:v>
      </x:c>
      <x:c r="N564" s="14" t="n">
        <x:v>5</x:v>
      </x:c>
      <x:c r="O564" s="14" t="n">
        <x:v>100944</x:v>
      </x:c>
      <x:c r="P564" t="str">
        <x:v>R-E</x:v>
      </x:c>
      <x:c r="Q564" s="12" t="n">
        <x:v>3.43</x:v>
      </x:c>
      <x:c r="R564" s="12" t="n">
        <x:v>2.76</x:v>
      </x:c>
      <x:c r="S564" s="12" t="n">
        <x:v>3.39</x:v>
      </x:c>
      <x:c r="T564" s="12" t="n">
        <x:v>2.95</x:v>
      </x:c>
      <x:c r="U564" s="12" t="n">
        <x:v>3.21</x:v>
      </x:c>
      <x:c r="V564" s="12" t="n">
        <x:v>3.4</x:v>
      </x:c>
      <x:c r="W564" s="12" t="n">
        <x:f>ROUND((Q564*0.24)+(R564*0.22)+(S564*0.16)+(T564*0.18)+(U564*0.10)+(V564*0.10),2)</x:f>
        <x:v>3.16</x:v>
      </x:c>
      <x:c r="X564" t="str">
        <x:f>IF(W564&gt;=3.55,"Pass","Fail")</x:f>
        <x:v>Fail</x:v>
      </x:c>
      <x:c r="Y564" t="str">
        <x:v>sequence reversed</x:v>
      </x:c>
      <x:c r="Z564" t="str">
        <x:v>Rater note: A reviewer would likely reject this. It may be visually attractive, but the tool/object relationship breaks during the important moment. The most important fix is to show the before-and-after state without a cut. For this automotive example, the main judgment is still whether the viewer can copy the motion.</x:v>
      </x:c>
      <x:c r="AA564" t="str">
        <x:v>Ask for a static close-up and require the floor jack to touch the pinch weld lift point before any motion starts.</x:v>
      </x:c>
      <x:c r="AB564" t="str">
        <x:v>Medium-High</x:v>
      </x:c>
      <x:c r="AC564" t="str"/>
      <x:c r="AD564" t="str">
        <x:v>Planning dataset only; scores are plausible placeholders, not vendor claims.</x:v>
      </x:c>
    </x:row>
    <x:row r="565">
      <x:c r="A565" t="str">
        <x:v>S094-Vidu-REF</x:v>
      </x:c>
      <x:c r="B565" t="str">
        <x:v>S094</x:v>
      </x:c>
      <x:c r="C565" t="str">
        <x:v>Automotive</x:v>
      </x:c>
      <x:c r="D565" t="str">
        <x:v>jacking</x:v>
      </x:c>
      <x:c r="E565" t="str">
        <x:v>positioning</x:v>
      </x:c>
      <x:c r="F565" t="n">
        <x:v>5</x:v>
      </x:c>
      <x:c r="G565" t="str">
        <x:v>position a floor jack under the factory pinch weld</x:v>
      </x:c>
      <x:c r="H565" t="str">
        <x:v>floor jack</x:v>
      </x:c>
      <x:c r="I565" t="str">
        <x:v>pinch weld lift point</x:v>
      </x:c>
      <x:c r="J565" t="str">
        <x:v>Vidu 2.0</x:v>
      </x:c>
      <x:c r="K565" t="str">
        <x:v>Reference-Guided</x:v>
      </x:c>
      <x:c r="L565" t="str">
        <x:v>Adds reference-tool/image cue and brand-agnostic visual constraints.</x:v>
      </x:c>
      <x:c r="M565" t="str">
        <x:v>Close-up realistic instructional DIY video: position a floor jack under the factory pinch weld. Show floor jack working on pinch weld lift point. Hands visible, stable camera, no text overlay, neutral shop lighting. Use a generic, brand-agnostic visual reference for the floor jack; preserve the tool shape and scale; the floor jack must remain in contact with pinch weld lift point during the key motion.</x:v>
      </x:c>
      <x:c r="N565" s="14" t="n">
        <x:v>5</x:v>
      </x:c>
      <x:c r="O565" s="14" t="n">
        <x:v>100945</x:v>
      </x:c>
      <x:c r="P565" t="str">
        <x:v>R-B</x:v>
      </x:c>
      <x:c r="Q565" s="12" t="n">
        <x:v>3.07</x:v>
      </x:c>
      <x:c r="R565" s="12" t="n">
        <x:v>3.53</x:v>
      </x:c>
      <x:c r="S565" s="12" t="n">
        <x:v>3.29</x:v>
      </x:c>
      <x:c r="T565" s="12" t="n">
        <x:v>3.01</x:v>
      </x:c>
      <x:c r="U565" s="12" t="n">
        <x:v>2.72</x:v>
      </x:c>
      <x:c r="V565" s="12" t="n">
        <x:v>3.27</x:v>
      </x:c>
      <x:c r="W565" s="12" t="n">
        <x:f>ROUND((Q565*0.24)+(R565*0.22)+(S565*0.16)+(T565*0.18)+(U565*0.10)+(V565*0.10),2)</x:f>
        <x:v>3.18</x:v>
      </x:c>
      <x:c r="X565" t="str">
        <x:f>IF(W565&gt;=3.55,"Pass","Fail")</x:f>
        <x:v>Fail</x:v>
      </x:c>
      <x:c r="Y565" t="str">
        <x:v>object morphs</x:v>
      </x:c>
      <x:c r="Z565" t="str">
        <x:v>Clip review: The generated clip loses the procedure. I would re-run with a reference frame and a stricter Action-Object-Tool prompt. The mistake appears late, so a simple thumbnail review would probably miss it. For this automotive example, the main judgment is still whether the viewer can copy the motion.</x:v>
      </x:c>
      <x:c r="AA565" t="str">
        <x:v>Use sequential context only for continuity, not for adding previous/next steps into the frame.</x:v>
      </x:c>
      <x:c r="AB565" t="str">
        <x:v>Medium</x:v>
      </x:c>
      <x:c r="AC565" t="str"/>
      <x:c r="AD565" t="str">
        <x:v>Synthetic benchmark entry; generated clip URL should be filled after API run.</x:v>
      </x:c>
    </x:row>
    <x:row r="566">
      <x:c r="A566" t="str">
        <x:v>S095-Veo-SEQ</x:v>
      </x:c>
      <x:c r="B566" t="str">
        <x:v>S095</x:v>
      </x:c>
      <x:c r="C566" t="str">
        <x:v>Automotive</x:v>
      </x:c>
      <x:c r="D566" t="str">
        <x:v>cooling</x:v>
      </x:c>
      <x:c r="E566" t="str">
        <x:v>checking</x:v>
      </x:c>
      <x:c r="F566" t="n">
        <x:v>3</x:v>
      </x:c>
      <x:c r="G566" t="str">
        <x:v>check coolant level against the cold fill line</x:v>
      </x:c>
      <x:c r="H566" t="str">
        <x:v>flashlight</x:v>
      </x:c>
      <x:c r="I566" t="str">
        <x:v>coolant reservoir</x:v>
      </x:c>
      <x:c r="J566" t="str">
        <x:v>Veo 3.1</x:v>
      </x:c>
      <x:c r="K566" t="str">
        <x:v>Sequential Context</x:v>
      </x:c>
      <x:c r="L566" t="str">
        <x:v>Provides previous and next step for continuity without asking for them to appear.</x:v>
      </x:c>
      <x:c r="M566" t="str">
        <x:v>Close-up realistic instructional DIY video: check coolant level against the cold fill line. Show flashlight working on coolant reservoir. Hands visible, stable camera, no text overlay, neutral shop lighting. This is the middle clip in a sequence. Previous step has already prepared the work area; next step will verify the result. Keep the same workpiece, camera distance, and hand orientation.</x:v>
      </x:c>
      <x:c r="N566" s="14" t="n">
        <x:v>8</x:v>
      </x:c>
      <x:c r="O566" s="14" t="n">
        <x:v>100950</x:v>
      </x:c>
      <x:c r="P566" t="str">
        <x:v>R-B</x:v>
      </x:c>
      <x:c r="Q566" s="12" t="n">
        <x:v>4.29</x:v>
      </x:c>
      <x:c r="R566" s="12" t="n">
        <x:v>4.61</x:v>
      </x:c>
      <x:c r="S566" s="12" t="n">
        <x:v>4.3</x:v>
      </x:c>
      <x:c r="T566" s="12" t="n">
        <x:v>4.43</x:v>
      </x:c>
      <x:c r="U566" s="12" t="n">
        <x:v>3.56</x:v>
      </x:c>
      <x:c r="V566" s="12" t="n">
        <x:v>4.36</x:v>
      </x:c>
      <x:c r="W566" s="12" t="n">
        <x:f>ROUND((Q566*0.24)+(R566*0.22)+(S566*0.16)+(T566*0.18)+(U566*0.10)+(V566*0.10),2)</x:f>
        <x:v>4.32</x:v>
      </x:c>
      <x:c r="X566" t="str">
        <x:f>IF(W566&gt;=3.55,"Pass","Fail")</x:f>
        <x:v>Pass</x:v>
      </x:c>
      <x:c r="Y566" t="str">
        <x:v>none</x:v>
      </x:c>
      <x:c r="Z566" t="str">
        <x:v>QA note: Clear enough for a learner. The workpiece does not wander and the camera stays on the coolant reservoir; I would still add a freeze or caption after generation. I would keep the same camera angle but ask for a tighter view of the contact point. Continuity is useful here, but it cannot replace showing the actual contact point.</x:v>
      </x:c>
      <x:c r="AA566" t="str">
        <x:v>No immediate re-run; keep as candidate and verify with a second rater.</x:v>
      </x:c>
      <x:c r="AB566" t="str">
        <x:v>Medium</x:v>
      </x:c>
      <x:c r="AC566" t="str"/>
      <x:c r="AD566" t="str">
        <x:v>Synthetic benchmark entry; generated clip URL should be filled after API run.</x:v>
      </x:c>
    </x:row>
    <x:row r="567">
      <x:c r="A567" t="str">
        <x:v>S095-Sora-SEQ</x:v>
      </x:c>
      <x:c r="B567" t="str">
        <x:v>S095</x:v>
      </x:c>
      <x:c r="C567" t="str">
        <x:v>Automotive</x:v>
      </x:c>
      <x:c r="D567" t="str">
        <x:v>cooling</x:v>
      </x:c>
      <x:c r="E567" t="str">
        <x:v>checking</x:v>
      </x:c>
      <x:c r="F567" t="n">
        <x:v>3</x:v>
      </x:c>
      <x:c r="G567" t="str">
        <x:v>check coolant level against the cold fill line</x:v>
      </x:c>
      <x:c r="H567" t="str">
        <x:v>flashlight</x:v>
      </x:c>
      <x:c r="I567" t="str">
        <x:v>coolant reservoir</x:v>
      </x:c>
      <x:c r="J567" t="str">
        <x:v>Sora 2 Pro</x:v>
      </x:c>
      <x:c r="K567" t="str">
        <x:v>Sequential Context</x:v>
      </x:c>
      <x:c r="L567" t="str">
        <x:v>Provides previous and next step for continuity without asking for them to appear.</x:v>
      </x:c>
      <x:c r="M567" t="str">
        <x:v>Close-up realistic instructional DIY video: check coolant level against the cold fill line. Show flashlight working on coolant reservoir. Hands visible, stable camera, no text overlay, neutral shop lighting. This is the middle clip in a sequence. Previous step has already prepared the work area; next step will verify the result. Keep the same workpiece, camera distance, and hand orientation.</x:v>
      </x:c>
      <x:c r="N567" s="14" t="n">
        <x:v>8</x:v>
      </x:c>
      <x:c r="O567" s="14" t="n">
        <x:v>100951</x:v>
      </x:c>
      <x:c r="P567" t="str">
        <x:v>R-E</x:v>
      </x:c>
      <x:c r="Q567" s="12" t="n">
        <x:v>3.84</x:v>
      </x:c>
      <x:c r="R567" s="12" t="n">
        <x:v>3.45</x:v>
      </x:c>
      <x:c r="S567" s="12" t="n">
        <x:v>4.28</x:v>
      </x:c>
      <x:c r="T567" s="12" t="n">
        <x:v>3.91</x:v>
      </x:c>
      <x:c r="U567" s="12" t="n">
        <x:v>3.73</x:v>
      </x:c>
      <x:c r="V567" s="12" t="n">
        <x:v>4.32</x:v>
      </x:c>
      <x:c r="W567" s="12" t="n">
        <x:f>ROUND((Q567*0.24)+(R567*0.22)+(S567*0.16)+(T567*0.18)+(U567*0.10)+(V567*0.10),2)</x:f>
        <x:v>3.87</x:v>
      </x:c>
      <x:c r="X567" t="str">
        <x:f>IF(W567&gt;=3.55,"Pass","Fail")</x:f>
        <x:v>Pass</x:v>
      </x:c>
      <x:c r="Y567" t="str">
        <x:v>contact point hidden</x:v>
      </x:c>
      <x:c r="Z567" t="str">
        <x:v>Human check: Looks plausible at first glance. On a second pass, the coolant reservoir shifts slightly and the model seems to infer the outcome rather than show the full checking. I would keep the same camera angle but ask for a tighter view of the contact point. Continuity is useful here, but it cannot replace showing the actual contact point.</x:v>
      </x:c>
      <x:c r="AA567" t="str">
        <x:v>Add a one-sentence end-state requirement: viewer must see the completed checking result for one full second.</x:v>
      </x:c>
      <x:c r="AB567" t="str">
        <x:v>Medium</x:v>
      </x:c>
      <x:c r="AC567" t="str"/>
      <x:c r="AD567" t="str">
        <x:v>Planning dataset only; scores are plausible placeholders, not vendor claims.</x:v>
      </x:c>
    </x:row>
    <x:row r="568">
      <x:c r="A568" t="str">
        <x:v>S095-Runway-SEQ</x:v>
      </x:c>
      <x:c r="B568" t="str">
        <x:v>S095</x:v>
      </x:c>
      <x:c r="C568" t="str">
        <x:v>Automotive</x:v>
      </x:c>
      <x:c r="D568" t="str">
        <x:v>cooling</x:v>
      </x:c>
      <x:c r="E568" t="str">
        <x:v>checking</x:v>
      </x:c>
      <x:c r="F568" t="n">
        <x:v>3</x:v>
      </x:c>
      <x:c r="G568" t="str">
        <x:v>check coolant level against the cold fill line</x:v>
      </x:c>
      <x:c r="H568" t="str">
        <x:v>flashlight</x:v>
      </x:c>
      <x:c r="I568" t="str">
        <x:v>coolant reservoir</x:v>
      </x:c>
      <x:c r="J568" t="str">
        <x:v>Runway Gen-4.5</x:v>
      </x:c>
      <x:c r="K568" t="str">
        <x:v>Sequential Context</x:v>
      </x:c>
      <x:c r="L568" t="str">
        <x:v>Provides previous and next step for continuity without asking for them to appear.</x:v>
      </x:c>
      <x:c r="M568" t="str">
        <x:v>Close-up realistic instructional DIY video: check coolant level against the cold fill line. Show flashlight working on coolant reservoir. Hands visible, stable camera, no text overlay, neutral shop lighting. This is the middle clip in a sequence. Previous step has already prepared the work area; next step will verify the result. Keep the same workpiece, camera distance, and hand orientation.</x:v>
      </x:c>
      <x:c r="N568" s="14" t="n">
        <x:v>5</x:v>
      </x:c>
      <x:c r="O568" s="14" t="n">
        <x:v>100952</x:v>
      </x:c>
      <x:c r="P568" t="str">
        <x:v>R-E</x:v>
      </x:c>
      <x:c r="Q568" s="12" t="n">
        <x:v>4.08</x:v>
      </x:c>
      <x:c r="R568" s="12" t="n">
        <x:v>3.71</x:v>
      </x:c>
      <x:c r="S568" s="12" t="n">
        <x:v>3.79</x:v>
      </x:c>
      <x:c r="T568" s="12" t="n">
        <x:v>4.23</x:v>
      </x:c>
      <x:c r="U568" s="12" t="n">
        <x:v>3.31</x:v>
      </x:c>
      <x:c r="V568" s="12" t="n">
        <x:v>3.28</x:v>
      </x:c>
      <x:c r="W568" s="12" t="n">
        <x:f>ROUND((Q568*0.24)+(R568*0.22)+(S568*0.16)+(T568*0.18)+(U568*0.10)+(V568*0.10),2)</x:f>
        <x:v>3.82</x:v>
      </x:c>
      <x:c r="X568" t="str">
        <x:f>IF(W568&gt;=3.55,"Pass","Fail")</x:f>
        <x:v>Pass</x:v>
      </x:c>
      <x:c r="Y568" t="str">
        <x:v>tool floats near object</x:v>
      </x:c>
      <x:c r="Z568" t="str">
        <x:v>Human check: The clip has the right ingredients but not quite the right mechanics. It needs a tighter prompt about grip, contact, and the end position. The issue is subtle visually, but it matters because the clip is supposed to teach the technique. Continuity is useful here, but it cannot replace showing the actual contact point.</x:v>
      </x:c>
      <x:c r="AA568" t="str">
        <x:v>Add a one-sentence end-state requirement: viewer must see the completed checking result for one full second.</x:v>
      </x:c>
      <x:c r="AB568" t="str">
        <x:v>Medium-High</x:v>
      </x:c>
      <x:c r="AC568" t="str"/>
      <x:c r="AD568" t="str">
        <x:v>Simulated pilot row for planning; replace with blinded ratings after generating actual clips.</x:v>
      </x:c>
    </x:row>
    <x:row r="569">
      <x:c r="A569" t="str">
        <x:v>S095-Kling-SEQ</x:v>
      </x:c>
      <x:c r="B569" t="str">
        <x:v>S095</x:v>
      </x:c>
      <x:c r="C569" t="str">
        <x:v>Automotive</x:v>
      </x:c>
      <x:c r="D569" t="str">
        <x:v>cooling</x:v>
      </x:c>
      <x:c r="E569" t="str">
        <x:v>checking</x:v>
      </x:c>
      <x:c r="F569" t="n">
        <x:v>3</x:v>
      </x:c>
      <x:c r="G569" t="str">
        <x:v>check coolant level against the cold fill line</x:v>
      </x:c>
      <x:c r="H569" t="str">
        <x:v>flashlight</x:v>
      </x:c>
      <x:c r="I569" t="str">
        <x:v>coolant reservoir</x:v>
      </x:c>
      <x:c r="J569" t="str">
        <x:v>Kling v3.0 (Replicate)</x:v>
      </x:c>
      <x:c r="K569" t="str">
        <x:v>Sequential Context</x:v>
      </x:c>
      <x:c r="L569" t="str">
        <x:v>Provides previous and next step for continuity without asking for them to appear.</x:v>
      </x:c>
      <x:c r="M569" t="str">
        <x:v>Close-up realistic instructional DIY video: check coolant level against the cold fill line. Show flashlight working on coolant reservoir. Hands visible, stable camera, no text overlay, neutral shop lighting. This is the middle clip in a sequence. Previous step has already prepared the work area; next step will verify the result. Keep the same workpiece, camera distance, and hand orientation.</x:v>
      </x:c>
      <x:c r="N569" s="14" t="n">
        <x:v>10</x:v>
      </x:c>
      <x:c r="O569" s="14" t="n">
        <x:v>100953</x:v>
      </x:c>
      <x:c r="P569" t="str">
        <x:v>R-B</x:v>
      </x:c>
      <x:c r="Q569" s="12" t="n">
        <x:v>3.71</x:v>
      </x:c>
      <x:c r="R569" s="12" t="n">
        <x:v>4</x:v>
      </x:c>
      <x:c r="S569" s="12" t="n">
        <x:v>3.44</x:v>
      </x:c>
      <x:c r="T569" s="12" t="n">
        <x:v>4.18</x:v>
      </x:c>
      <x:c r="U569" s="12" t="n">
        <x:v>3.86</x:v>
      </x:c>
      <x:c r="V569" s="12" t="n">
        <x:v>3.76</x:v>
      </x:c>
      <x:c r="W569" s="12" t="n">
        <x:f>ROUND((Q569*0.24)+(R569*0.22)+(S569*0.16)+(T569*0.18)+(U569*0.10)+(V569*0.10),2)</x:f>
        <x:v>3.84</x:v>
      </x:c>
      <x:c r="X569" t="str">
        <x:f>IF(W569&gt;=3.55,"Pass","Fail")</x:f>
        <x:v>Pass</x:v>
      </x:c>
      <x:c r="Y569" t="str">
        <x:v>motion slightly compressed</x:v>
      </x:c>
      <x:c r="Z569" t="str">
        <x:v>Human check: The intention is clear, especially if you already know the step. A novice might miss the key detail because this issue appears right where the action should be most explicit: motion slightly compressed. The mistake appears late, so a simple thumbnail review would probably miss it. Continuity is useful here, but it cannot replace showing the actual contact point.</x:v>
      </x:c>
      <x:c r="AA569" t="str">
        <x:v>Use a reference image for the flashlight and specify its grip/orientation in plain language.</x:v>
      </x:c>
      <x:c r="AB569" t="str">
        <x:v>High</x:v>
      </x:c>
      <x:c r="AC569" t="str"/>
      <x:c r="AD569" t="str">
        <x:v>Simulated pilot row for planning; replace with blinded ratings after generating actual clips.</x:v>
      </x:c>
    </x:row>
    <x:row r="570">
      <x:c r="A570" t="str">
        <x:v>S095-Pika-SEQ</x:v>
      </x:c>
      <x:c r="B570" t="str">
        <x:v>S095</x:v>
      </x:c>
      <x:c r="C570" t="str">
        <x:v>Automotive</x:v>
      </x:c>
      <x:c r="D570" t="str">
        <x:v>cooling</x:v>
      </x:c>
      <x:c r="E570" t="str">
        <x:v>checking</x:v>
      </x:c>
      <x:c r="F570" t="n">
        <x:v>3</x:v>
      </x:c>
      <x:c r="G570" t="str">
        <x:v>check coolant level against the cold fill line</x:v>
      </x:c>
      <x:c r="H570" t="str">
        <x:v>flashlight</x:v>
      </x:c>
      <x:c r="I570" t="str">
        <x:v>coolant reservoir</x:v>
      </x:c>
      <x:c r="J570" t="str">
        <x:v>Pika 2.2</x:v>
      </x:c>
      <x:c r="K570" t="str">
        <x:v>Sequential Context</x:v>
      </x:c>
      <x:c r="L570" t="str">
        <x:v>Provides previous and next step for continuity without asking for them to appear.</x:v>
      </x:c>
      <x:c r="M570" t="str">
        <x:v>Close-up realistic instructional DIY video: check coolant level against the cold fill line. Show flashlight working on coolant reservoir. Hands visible, stable camera, no text overlay, neutral shop lighting. This is the middle clip in a sequence. Previous step has already prepared the work area; next step will verify the result. Keep the same workpiece, camera distance, and hand orientation.</x:v>
      </x:c>
      <x:c r="N570" s="14" t="n">
        <x:v>5</x:v>
      </x:c>
      <x:c r="O570" s="14" t="n">
        <x:v>100954</x:v>
      </x:c>
      <x:c r="P570" t="str">
        <x:v>R-C</x:v>
      </x:c>
      <x:c r="Q570" s="12" t="n">
        <x:v>3.59</x:v>
      </x:c>
      <x:c r="R570" s="12" t="n">
        <x:v>3.67</x:v>
      </x:c>
      <x:c r="S570" s="12" t="n">
        <x:v>3.99</x:v>
      </x:c>
      <x:c r="T570" s="12" t="n">
        <x:v>3.92</x:v>
      </x:c>
      <x:c r="U570" s="12" t="n">
        <x:v>3.14</x:v>
      </x:c>
      <x:c r="V570" s="12" t="n">
        <x:v>4.02</x:v>
      </x:c>
      <x:c r="W570" s="12" t="n">
        <x:f>ROUND((Q570*0.24)+(R570*0.22)+(S570*0.16)+(T570*0.18)+(U570*0.10)+(V570*0.10),2)</x:f>
        <x:v>3.73</x:v>
      </x:c>
      <x:c r="X570" t="str">
        <x:f>IF(W570&gt;=3.55,"Pass","Fail")</x:f>
        <x:v>Pass</x:v>
      </x:c>
      <x:c r="Y570" t="str">
        <x:v>action starts too late</x:v>
      </x:c>
      <x:c r="Z570" t="str">
        <x:v>Human check: I would keep this as a rough candidate. It communicates the step, although the failure mode makes it weaker than a real sourced clip: action starts too late. I would keep the same camera angle but ask for a tighter view of the contact point. Continuity is useful here, but it cannot replace showing the actual contact point.</x:v>
      </x:c>
      <x:c r="AA570" t="str">
        <x:v>Use a reference image for the flashlight and specify its grip/orientation in plain language.</x:v>
      </x:c>
      <x:c r="AB570" t="str">
        <x:v>Medium</x:v>
      </x:c>
      <x:c r="AC570" t="str"/>
      <x:c r="AD570" t="str">
        <x:v>Synthetic benchmark entry; generated clip URL should be filled after API run.</x:v>
      </x:c>
    </x:row>
    <x:row r="571">
      <x:c r="A571" t="str">
        <x:v>S095-Vidu-SEQ</x:v>
      </x:c>
      <x:c r="B571" t="str">
        <x:v>S095</x:v>
      </x:c>
      <x:c r="C571" t="str">
        <x:v>Automotive</x:v>
      </x:c>
      <x:c r="D571" t="str">
        <x:v>cooling</x:v>
      </x:c>
      <x:c r="E571" t="str">
        <x:v>checking</x:v>
      </x:c>
      <x:c r="F571" t="n">
        <x:v>3</x:v>
      </x:c>
      <x:c r="G571" t="str">
        <x:v>check coolant level against the cold fill line</x:v>
      </x:c>
      <x:c r="H571" t="str">
        <x:v>flashlight</x:v>
      </x:c>
      <x:c r="I571" t="str">
        <x:v>coolant reservoir</x:v>
      </x:c>
      <x:c r="J571" t="str">
        <x:v>Vidu 2.0</x:v>
      </x:c>
      <x:c r="K571" t="str">
        <x:v>Sequential Context</x:v>
      </x:c>
      <x:c r="L571" t="str">
        <x:v>Provides previous and next step for continuity without asking for them to appear.</x:v>
      </x:c>
      <x:c r="M571" t="str">
        <x:v>Close-up realistic instructional DIY video: check coolant level against the cold fill line. Show flashlight working on coolant reservoir. Hands visible, stable camera, no text overlay, neutral shop lighting. This is the middle clip in a sequence. Previous step has already prepared the work area; next step will verify the result. Keep the same workpiece, camera distance, and hand orientation.</x:v>
      </x:c>
      <x:c r="N571" s="14" t="n">
        <x:v>5</x:v>
      </x:c>
      <x:c r="O571" s="14" t="n">
        <x:v>100955</x:v>
      </x:c>
      <x:c r="P571" t="str">
        <x:v>R-B</x:v>
      </x:c>
      <x:c r="Q571" s="12" t="n">
        <x:v>3.61</x:v>
      </x:c>
      <x:c r="R571" s="12" t="n">
        <x:v>3.01</x:v>
      </x:c>
      <x:c r="S571" s="12" t="n">
        <x:v>2.71</x:v>
      </x:c>
      <x:c r="T571" s="12" t="n">
        <x:v>3.1</x:v>
      </x:c>
      <x:c r="U571" s="12" t="n">
        <x:v>3.17</x:v>
      </x:c>
      <x:c r="V571" s="12" t="n">
        <x:v>3.72</x:v>
      </x:c>
      <x:c r="W571" s="12" t="n">
        <x:f>ROUND((Q571*0.24)+(R571*0.22)+(S571*0.16)+(T571*0.18)+(U571*0.10)+(V571*0.10),2)</x:f>
        <x:v>3.21</x:v>
      </x:c>
      <x:c r="X571" t="str">
        <x:f>IF(W571&gt;=3.55,"Pass","Fail")</x:f>
        <x:v>Fail</x:v>
      </x:c>
      <x:c r="Y571" t="str">
        <x:v>over-stylized texture</x:v>
      </x:c>
      <x:c r="Z571" t="str">
        <x:v>QA note: The clip looks like generic DIY stock footage rather than this specific step. The main problem is over-stylized texture, and the end state is not verifiable. The tool silhouette is acceptable; the mechanics are the weak part. Continuity is useful here, but it cannot replace showing the actual contact point.</x:v>
      </x:c>
      <x:c r="AA571" t="str">
        <x:v>Use sequential context only for continuity, not for adding previous/next steps into the frame.</x:v>
      </x:c>
      <x:c r="AB571" t="str">
        <x:v>High</x:v>
      </x:c>
      <x:c r="AC571" t="str"/>
      <x:c r="AD571" t="str">
        <x:v>Simulated pilot row for planning; replace with blinded ratings after generating actual clips.</x:v>
      </x:c>
    </x:row>
    <x:row r="572">
      <x:c r="A572" t="str">
        <x:v>S096-Veo-CON</x:v>
      </x:c>
      <x:c r="B572" t="str">
        <x:v>S096</x:v>
      </x:c>
      <x:c r="C572" t="str">
        <x:v>Automotive</x:v>
      </x:c>
      <x:c r="D572" t="str">
        <x:v>belts</x:v>
      </x:c>
      <x:c r="E572" t="str">
        <x:v>inspecting</x:v>
      </x:c>
      <x:c r="F572" t="n">
        <x:v>3</x:v>
      </x:c>
      <x:c r="G572" t="str">
        <x:v>inspect serpentine belt ribs for cracks</x:v>
      </x:c>
      <x:c r="H572" t="str">
        <x:v>flashlight</x:v>
      </x:c>
      <x:c r="I572" t="str">
        <x:v>serpentine belt</x:v>
      </x:c>
      <x:c r="J572" t="str">
        <x:v>Veo 3.1</x:v>
      </x:c>
      <x:c r="K572" t="str">
        <x:v>Constraint-Rich Negative Prompt</x:v>
      </x:c>
      <x:c r="L572" t="str">
        <x:v>Adds concise no-floating-tools/no-extra-objects/no-morphing constraints.</x:v>
      </x:c>
      <x:c r="M572" t="str">
        <x:v>Close-up realistic instructional DIY video: inspect serpentine belt ribs for cracks. Show flashlight working on serpentine belt. Hands visible, stable camera, no text overlay, neutral shop lighting. Constraints: no floating tools, no extra tools, no morphing hands, no reversed motion, no impossible deformation, no dramatic camera spin. Keep the full action legible.</x:v>
      </x:c>
      <x:c r="N572" s="14" t="n">
        <x:v>8</x:v>
      </x:c>
      <x:c r="O572" s="14" t="n">
        <x:v>100960</x:v>
      </x:c>
      <x:c r="P572" t="str">
        <x:v>R-E</x:v>
      </x:c>
      <x:c r="Q572" s="12" t="n">
        <x:v>4.2</x:v>
      </x:c>
      <x:c r="R572" s="12" t="n">
        <x:v>4.42</x:v>
      </x:c>
      <x:c r="S572" s="12" t="n">
        <x:v>4.46</x:v>
      </x:c>
      <x:c r="T572" s="12" t="n">
        <x:v>4.81</x:v>
      </x:c>
      <x:c r="U572" s="12" t="n">
        <x:v>3.96</x:v>
      </x:c>
      <x:c r="V572" s="12" t="n">
        <x:v>4.14</x:v>
      </x:c>
      <x:c r="W572" s="12" t="n">
        <x:f>ROUND((Q572*0.24)+(R572*0.22)+(S572*0.16)+(T572*0.18)+(U572*0.10)+(V572*0.10),2)</x:f>
        <x:v>4.37</x:v>
      </x:c>
      <x:c r="X572" t="str">
        <x:f>IF(W572&gt;=3.55,"Pass","Fail")</x:f>
        <x:v>Pass</x:v>
      </x:c>
      <x:c r="Y572" t="str">
        <x:v>none</x:v>
      </x:c>
      <x:c r="Z572" t="str">
        <x:v>Rater note: Best part is the pacing: it gives enough time to understand inspecting without turning into a beauty shot. Minor issue: occasional extra hand. The mistake appears late, so a simple thumbnail review would probably miss it. The negative constraints help, but they do not fully solve the mechanics.</x:v>
      </x:c>
      <x:c r="AA572" t="str">
        <x:v>No immediate re-run; keep as candidate and verify with a second rater.</x:v>
      </x:c>
      <x:c r="AB572" t="str">
        <x:v>High</x:v>
      </x:c>
      <x:c r="AC572" t="str"/>
      <x:c r="AD572" t="str">
        <x:v>Planning dataset only; scores are plausible placeholders, not vendor claims.</x:v>
      </x:c>
    </x:row>
    <x:row r="573">
      <x:c r="A573" t="str">
        <x:v>S096-Sora-CON</x:v>
      </x:c>
      <x:c r="B573" t="str">
        <x:v>S096</x:v>
      </x:c>
      <x:c r="C573" t="str">
        <x:v>Automotive</x:v>
      </x:c>
      <x:c r="D573" t="str">
        <x:v>belts</x:v>
      </x:c>
      <x:c r="E573" t="str">
        <x:v>inspecting</x:v>
      </x:c>
      <x:c r="F573" t="n">
        <x:v>3</x:v>
      </x:c>
      <x:c r="G573" t="str">
        <x:v>inspect serpentine belt ribs for cracks</x:v>
      </x:c>
      <x:c r="H573" t="str">
        <x:v>flashlight</x:v>
      </x:c>
      <x:c r="I573" t="str">
        <x:v>serpentine belt</x:v>
      </x:c>
      <x:c r="J573" t="str">
        <x:v>Sora 2 Pro</x:v>
      </x:c>
      <x:c r="K573" t="str">
        <x:v>Constraint-Rich Negative Prompt</x:v>
      </x:c>
      <x:c r="L573" t="str">
        <x:v>Adds concise no-floating-tools/no-extra-objects/no-morphing constraints.</x:v>
      </x:c>
      <x:c r="M573" t="str">
        <x:v>Close-up realistic instructional DIY video: inspect serpentine belt ribs for cracks. Show flashlight working on serpentine belt. Hands visible, stable camera, no text overlay, neutral shop lighting. Constraints: no floating tools, no extra tools, no morphing hands, no reversed motion, no impossible deformation, no dramatic camera spin. Keep the full action legible.</x:v>
      </x:c>
      <x:c r="N573" s="14" t="n">
        <x:v>8</x:v>
      </x:c>
      <x:c r="O573" s="14" t="n">
        <x:v>100961</x:v>
      </x:c>
      <x:c r="P573" t="str">
        <x:v>R-C</x:v>
      </x:c>
      <x:c r="Q573" s="12" t="n">
        <x:v>3.68</x:v>
      </x:c>
      <x:c r="R573" s="12" t="n">
        <x:v>4.14</x:v>
      </x:c>
      <x:c r="S573" s="12" t="n">
        <x:v>4.34</x:v>
      </x:c>
      <x:c r="T573" s="12" t="n">
        <x:v>4.11</x:v>
      </x:c>
      <x:c r="U573" s="12" t="n">
        <x:v>4.51</x:v>
      </x:c>
      <x:c r="V573" s="12" t="n">
        <x:v>4.44</x:v>
      </x:c>
      <x:c r="W573" s="12" t="n">
        <x:f>ROUND((Q573*0.24)+(R573*0.22)+(S573*0.16)+(T573*0.18)+(U573*0.10)+(V573*0.10),2)</x:f>
        <x:v>4.12</x:v>
      </x:c>
      <x:c r="X573" t="str">
        <x:f>IF(W573&gt;=3.55,"Pass","Fail")</x:f>
        <x:v>Pass</x:v>
      </x:c>
      <x:c r="Y573" t="str">
        <x:v>none</x:v>
      </x:c>
      <x:c r="Z573" t="str">
        <x:v>QA note: The intention is clear, especially if you already know the step. A novice might miss the key detail because this issue appears right where the action should be most explicit: none. The most important fix is to show the before-and-after state without a cut. The negative constraints help, but they do not fully solve the mechanics.</x:v>
      </x:c>
      <x:c r="AA573" t="str">
        <x:v>Use a reference image for the flashlight and specify its grip/orientation in plain language.</x:v>
      </x:c>
      <x:c r="AB573" t="str">
        <x:v>Medium</x:v>
      </x:c>
      <x:c r="AC573" t="str"/>
      <x:c r="AD573" t="str">
        <x:v>Simulated pilot row for planning; replace with blinded ratings after generating actual clips.</x:v>
      </x:c>
    </x:row>
    <x:row r="574">
      <x:c r="A574" t="str">
        <x:v>S096-Runway-CON</x:v>
      </x:c>
      <x:c r="B574" t="str">
        <x:v>S096</x:v>
      </x:c>
      <x:c r="C574" t="str">
        <x:v>Automotive</x:v>
      </x:c>
      <x:c r="D574" t="str">
        <x:v>belts</x:v>
      </x:c>
      <x:c r="E574" t="str">
        <x:v>inspecting</x:v>
      </x:c>
      <x:c r="F574" t="n">
        <x:v>3</x:v>
      </x:c>
      <x:c r="G574" t="str">
        <x:v>inspect serpentine belt ribs for cracks</x:v>
      </x:c>
      <x:c r="H574" t="str">
        <x:v>flashlight</x:v>
      </x:c>
      <x:c r="I574" t="str">
        <x:v>serpentine belt</x:v>
      </x:c>
      <x:c r="J574" t="str">
        <x:v>Runway Gen-4.5</x:v>
      </x:c>
      <x:c r="K574" t="str">
        <x:v>Constraint-Rich Negative Prompt</x:v>
      </x:c>
      <x:c r="L574" t="str">
        <x:v>Adds concise no-floating-tools/no-extra-objects/no-morphing constraints.</x:v>
      </x:c>
      <x:c r="M574" t="str">
        <x:v>Close-up realistic instructional DIY video: inspect serpentine belt ribs for cracks. Show flashlight working on serpentine belt. Hands visible, stable camera, no text overlay, neutral shop lighting. Constraints: no floating tools, no extra tools, no morphing hands, no reversed motion, no impossible deformation, no dramatic camera spin. Keep the full action legible.</x:v>
      </x:c>
      <x:c r="N574" s="14" t="n">
        <x:v>5</x:v>
      </x:c>
      <x:c r="O574" s="14" t="n">
        <x:v>100962</x:v>
      </x:c>
      <x:c r="P574" t="str">
        <x:v>R-E</x:v>
      </x:c>
      <x:c r="Q574" s="12" t="n">
        <x:v>4.11</x:v>
      </x:c>
      <x:c r="R574" s="12" t="n">
        <x:v>3.69</x:v>
      </x:c>
      <x:c r="S574" s="12" t="n">
        <x:v>4.24</x:v>
      </x:c>
      <x:c r="T574" s="12" t="n">
        <x:v>4.16</x:v>
      </x:c>
      <x:c r="U574" s="12" t="n">
        <x:v>3.97</x:v>
      </x:c>
      <x:c r="V574" s="12" t="n">
        <x:v>4.14</x:v>
      </x:c>
      <x:c r="W574" s="12" t="n">
        <x:f>ROUND((Q574*0.24)+(R574*0.22)+(S574*0.16)+(T574*0.18)+(U574*0.10)+(V574*0.10),2)</x:f>
        <x:v>4.04</x:v>
      </x:c>
      <x:c r="X574" t="str">
        <x:f>IF(W574&gt;=3.55,"Pass","Fail")</x:f>
        <x:v>Pass</x:v>
      </x:c>
      <x:c r="Y574" t="str">
        <x:v>tool pose a little soft</x:v>
      </x:c>
      <x:c r="Z574" t="str">
        <x:v>QA note: Looks plausible at first glance. On a second pass, the serpentine belt shifts slightly and the model seems to infer the outcome rather than show the full inspecting. The clip needs a verifier pass before it can enter the training pool. The negative constraints help, but they do not fully solve the mechanics.</x:v>
      </x:c>
      <x:c r="AA574" t="str">
        <x:v>Add a one-sentence end-state requirement: viewer must see the completed inspecting result for one full second.</x:v>
      </x:c>
      <x:c r="AB574" t="str">
        <x:v>Medium</x:v>
      </x:c>
      <x:c r="AC574" t="str"/>
      <x:c r="AD574" t="str">
        <x:v>Synthetic benchmark entry; generated clip URL should be filled after API run.</x:v>
      </x:c>
    </x:row>
    <x:row r="575">
      <x:c r="A575" t="str">
        <x:v>S096-Kling-CON</x:v>
      </x:c>
      <x:c r="B575" t="str">
        <x:v>S096</x:v>
      </x:c>
      <x:c r="C575" t="str">
        <x:v>Automotive</x:v>
      </x:c>
      <x:c r="D575" t="str">
        <x:v>belts</x:v>
      </x:c>
      <x:c r="E575" t="str">
        <x:v>inspecting</x:v>
      </x:c>
      <x:c r="F575" t="n">
        <x:v>3</x:v>
      </x:c>
      <x:c r="G575" t="str">
        <x:v>inspect serpentine belt ribs for cracks</x:v>
      </x:c>
      <x:c r="H575" t="str">
        <x:v>flashlight</x:v>
      </x:c>
      <x:c r="I575" t="str">
        <x:v>serpentine belt</x:v>
      </x:c>
      <x:c r="J575" t="str">
        <x:v>Kling v3.0 (Replicate)</x:v>
      </x:c>
      <x:c r="K575" t="str">
        <x:v>Constraint-Rich Negative Prompt</x:v>
      </x:c>
      <x:c r="L575" t="str">
        <x:v>Adds concise no-floating-tools/no-extra-objects/no-morphing constraints.</x:v>
      </x:c>
      <x:c r="M575" t="str">
        <x:v>Close-up realistic instructional DIY video: inspect serpentine belt ribs for cracks. Show flashlight working on serpentine belt. Hands visible, stable camera, no text overlay, neutral shop lighting. Constraints: no floating tools, no extra tools, no morphing hands, no reversed motion, no impossible deformation, no dramatic camera spin. Keep the full action legible.</x:v>
      </x:c>
      <x:c r="N575" s="14" t="n">
        <x:v>10</x:v>
      </x:c>
      <x:c r="O575" s="14" t="n">
        <x:v>100963</x:v>
      </x:c>
      <x:c r="P575" t="str">
        <x:v>R-D</x:v>
      </x:c>
      <x:c r="Q575" s="12" t="n">
        <x:v>3.49</x:v>
      </x:c>
      <x:c r="R575" s="12" t="n">
        <x:v>4.03</x:v>
      </x:c>
      <x:c r="S575" s="12" t="n">
        <x:v>3.96</x:v>
      </x:c>
      <x:c r="T575" s="12" t="n">
        <x:v>3.64</x:v>
      </x:c>
      <x:c r="U575" s="12" t="n">
        <x:v>3.54</x:v>
      </x:c>
      <x:c r="V575" s="12" t="n">
        <x:v>4.3</x:v>
      </x:c>
      <x:c r="W575" s="12" t="n">
        <x:f>ROUND((Q575*0.24)+(R575*0.22)+(S575*0.16)+(T575*0.18)+(U575*0.10)+(V575*0.10),2)</x:f>
        <x:v>3.8</x:v>
      </x:c>
      <x:c r="X575" t="str">
        <x:f>IF(W575&gt;=3.55,"Pass","Fail")</x:f>
        <x:v>Pass</x:v>
      </x:c>
      <x:c r="Y575" t="str">
        <x:v>motion slightly compressed</x:v>
      </x:c>
      <x:c r="Z575" t="str">
        <x:v>Clip review: The intention is clear, especially if you already know the step. A novice might miss the key detail because this issue appears right where the action should be most explicit: motion slightly compressed. The mistake appears late, so a simple thumbnail review would probably miss it. The negative constraints help, but they do not fully solve the mechanics.</x:v>
      </x:c>
      <x:c r="AA575" t="str">
        <x:v>Use a reference image for the flashlight and specify its grip/orientation in plain language.</x:v>
      </x:c>
      <x:c r="AB575" t="str">
        <x:v>High</x:v>
      </x:c>
      <x:c r="AC575" t="str"/>
      <x:c r="AD575" t="str">
        <x:v>Mock rater record for experiment design; audit against real video outputs before publication.</x:v>
      </x:c>
    </x:row>
    <x:row r="576">
      <x:c r="A576" t="str">
        <x:v>S096-Pika-CON</x:v>
      </x:c>
      <x:c r="B576" t="str">
        <x:v>S096</x:v>
      </x:c>
      <x:c r="C576" t="str">
        <x:v>Automotive</x:v>
      </x:c>
      <x:c r="D576" t="str">
        <x:v>belts</x:v>
      </x:c>
      <x:c r="E576" t="str">
        <x:v>inspecting</x:v>
      </x:c>
      <x:c r="F576" t="n">
        <x:v>3</x:v>
      </x:c>
      <x:c r="G576" t="str">
        <x:v>inspect serpentine belt ribs for cracks</x:v>
      </x:c>
      <x:c r="H576" t="str">
        <x:v>flashlight</x:v>
      </x:c>
      <x:c r="I576" t="str">
        <x:v>serpentine belt</x:v>
      </x:c>
      <x:c r="J576" t="str">
        <x:v>Pika 2.2</x:v>
      </x:c>
      <x:c r="K576" t="str">
        <x:v>Constraint-Rich Negative Prompt</x:v>
      </x:c>
      <x:c r="L576" t="str">
        <x:v>Adds concise no-floating-tools/no-extra-objects/no-morphing constraints.</x:v>
      </x:c>
      <x:c r="M576" t="str">
        <x:v>Close-up realistic instructional DIY video: inspect serpentine belt ribs for cracks. Show flashlight working on serpentine belt. Hands visible, stable camera, no text overlay, neutral shop lighting. Constraints: no floating tools, no extra tools, no morphing hands, no reversed motion, no impossible deformation, no dramatic camera spin. Keep the full action legible.</x:v>
      </x:c>
      <x:c r="N576" s="14" t="n">
        <x:v>5</x:v>
      </x:c>
      <x:c r="O576" s="14" t="n">
        <x:v>100964</x:v>
      </x:c>
      <x:c r="P576" t="str">
        <x:v>R-E</x:v>
      </x:c>
      <x:c r="Q576" s="12" t="n">
        <x:v>3.19</x:v>
      </x:c>
      <x:c r="R576" s="12" t="n">
        <x:v>3.34</x:v>
      </x:c>
      <x:c r="S576" s="12" t="n">
        <x:v>3.15</x:v>
      </x:c>
      <x:c r="T576" s="12" t="n">
        <x:v>3.88</x:v>
      </x:c>
      <x:c r="U576" s="12" t="n">
        <x:v>3.45</x:v>
      </x:c>
      <x:c r="V576" s="12" t="n">
        <x:v>3.76</x:v>
      </x:c>
      <x:c r="W576" s="12" t="n">
        <x:f>ROUND((Q576*0.24)+(R576*0.22)+(S576*0.16)+(T576*0.18)+(U576*0.10)+(V576*0.10),2)</x:f>
        <x:v>3.42</x:v>
      </x:c>
      <x:c r="X576" t="str">
        <x:f>IF(W576&gt;=3.55,"Pass","Fail")</x:f>
        <x:v>Fail</x:v>
      </x:c>
      <x:c r="Y576" t="str">
        <x:v>material looks wrong</x:v>
      </x:c>
      <x:c r="Z576" t="str">
        <x:v>Human check: A reviewer would likely reject this. It may be visually attractive, but the tool/object relationship breaks during the important moment. I would keep the same camera angle but ask for a tighter view of the contact point. The negative constraints help, but they do not fully solve the mechanics.</x:v>
      </x:c>
      <x:c r="AA576" t="str">
        <x:v>Specify the exact contact point and do not allow the hand to cover it.</x:v>
      </x:c>
      <x:c r="AB576" t="str">
        <x:v>Medium</x:v>
      </x:c>
      <x:c r="AC576" t="str"/>
      <x:c r="AD576" t="str">
        <x:v>Simulated pilot row for planning; replace with blinded ratings after generating actual clips.</x:v>
      </x:c>
    </x:row>
    <x:row r="577">
      <x:c r="A577" t="str">
        <x:v>S096-Vidu-CON</x:v>
      </x:c>
      <x:c r="B577" t="str">
        <x:v>S096</x:v>
      </x:c>
      <x:c r="C577" t="str">
        <x:v>Automotive</x:v>
      </x:c>
      <x:c r="D577" t="str">
        <x:v>belts</x:v>
      </x:c>
      <x:c r="E577" t="str">
        <x:v>inspecting</x:v>
      </x:c>
      <x:c r="F577" t="n">
        <x:v>3</x:v>
      </x:c>
      <x:c r="G577" t="str">
        <x:v>inspect serpentine belt ribs for cracks</x:v>
      </x:c>
      <x:c r="H577" t="str">
        <x:v>flashlight</x:v>
      </x:c>
      <x:c r="I577" t="str">
        <x:v>serpentine belt</x:v>
      </x:c>
      <x:c r="J577" t="str">
        <x:v>Vidu 2.0</x:v>
      </x:c>
      <x:c r="K577" t="str">
        <x:v>Constraint-Rich Negative Prompt</x:v>
      </x:c>
      <x:c r="L577" t="str">
        <x:v>Adds concise no-floating-tools/no-extra-objects/no-morphing constraints.</x:v>
      </x:c>
      <x:c r="M577" t="str">
        <x:v>Close-up realistic instructional DIY video: inspect serpentine belt ribs for cracks. Show flashlight working on serpentine belt. Hands visible, stable camera, no text overlay, neutral shop lighting. Constraints: no floating tools, no extra tools, no morphing hands, no reversed motion, no impossible deformation, no dramatic camera spin. Keep the full action legible.</x:v>
      </x:c>
      <x:c r="N577" s="14" t="n">
        <x:v>5</x:v>
      </x:c>
      <x:c r="O577" s="14" t="n">
        <x:v>100965</x:v>
      </x:c>
      <x:c r="P577" t="str">
        <x:v>R-D</x:v>
      </x:c>
      <x:c r="Q577" s="12" t="n">
        <x:v>2.75</x:v>
      </x:c>
      <x:c r="R577" s="12" t="n">
        <x:v>3.29</x:v>
      </x:c>
      <x:c r="S577" s="12" t="n">
        <x:v>3.39</x:v>
      </x:c>
      <x:c r="T577" s="12" t="n">
        <x:v>3.89</x:v>
      </x:c>
      <x:c r="U577" s="12" t="n">
        <x:v>3.67</x:v>
      </x:c>
      <x:c r="V577" s="12" t="n">
        <x:v>3.23</x:v>
      </x:c>
      <x:c r="W577" s="12" t="n">
        <x:f>ROUND((Q577*0.24)+(R577*0.22)+(S577*0.16)+(T577*0.18)+(U577*0.10)+(V577*0.10),2)</x:f>
        <x:v>3.32</x:v>
      </x:c>
      <x:c r="X577" t="str">
        <x:f>IF(W577&gt;=3.55,"Pass","Fail")</x:f>
        <x:v>Fail</x:v>
      </x:c>
      <x:c r="Y577" t="str">
        <x:v>material looks wrong</x:v>
      </x:c>
      <x:c r="Z577" t="str">
        <x:v>Clip review: The generated clip loses the procedure. I would re-run with a reference frame and a stricter Action-Object-Tool prompt. This reads better as a teaser than as an instructional clip. The negative constraints help, but they do not fully solve the mechanics.</x:v>
      </x:c>
      <x:c r="AA577" t="str">
        <x:v>Ask for a static close-up and require the flashlight to touch the serpentine belt before any motion starts.</x:v>
      </x:c>
      <x:c r="AB577" t="str">
        <x:v>Low</x:v>
      </x:c>
      <x:c r="AC577" t="str"/>
      <x:c r="AD577" t="str">
        <x:v>Simulated pilot row for planning; replace with blinded ratings after generating actual clips.</x:v>
      </x:c>
    </x:row>
    <x:row r="578">
      <x:c r="A578" t="str">
        <x:v>S097-Veo-DIR</x:v>
      </x:c>
      <x:c r="B578" t="str">
        <x:v>S097</x:v>
      </x:c>
      <x:c r="C578" t="str">
        <x:v>Automotive</x:v>
      </x:c>
      <x:c r="D578" t="str">
        <x:v>fuses</x:v>
      </x:c>
      <x:c r="E578" t="str">
        <x:v>pulling</x:v>
      </x:c>
      <x:c r="F578" t="n">
        <x:v>3</x:v>
      </x:c>
      <x:c r="G578" t="str">
        <x:v>pull a blade fuse with a fuse puller</x:v>
      </x:c>
      <x:c r="H578" t="str">
        <x:v>fuse puller</x:v>
      </x:c>
      <x:c r="I578" t="str">
        <x:v>blade fuse, fuse box</x:v>
      </x:c>
      <x:c r="J578" t="str">
        <x:v>Veo 3.1</x:v>
      </x:c>
      <x:c r="K578" t="str">
        <x:v>Direct Natural Language</x:v>
      </x:c>
      <x:c r="L578" t="str">
        <x:v>Baseline wording only; no explicit decomposition.</x:v>
      </x:c>
      <x:c r="M578" t="str">
        <x:v>Close-up realistic instructional DIY video: pull a blade fuse with a fuse puller. Show fuse puller working on blade fuse, fuse box. Hands visible, stable camera, no text overlay, neutral shop lighting.</x:v>
      </x:c>
      <x:c r="N578" s="14" t="n">
        <x:v>8</x:v>
      </x:c>
      <x:c r="O578" s="14" t="n">
        <x:v>100970</x:v>
      </x:c>
      <x:c r="P578" t="str">
        <x:v>R-A</x:v>
      </x:c>
      <x:c r="Q578" s="12" t="n">
        <x:v>3.84</x:v>
      </x:c>
      <x:c r="R578" s="12" t="n">
        <x:v>4.46</x:v>
      </x:c>
      <x:c r="S578" s="12" t="n">
        <x:v>3.74</x:v>
      </x:c>
      <x:c r="T578" s="12" t="n">
        <x:v>4.03</x:v>
      </x:c>
      <x:c r="U578" s="12" t="n">
        <x:v>3.79</x:v>
      </x:c>
      <x:c r="V578" s="12" t="n">
        <x:v>4</x:v>
      </x:c>
      <x:c r="W578" s="12" t="n">
        <x:f>ROUND((Q578*0.24)+(R578*0.22)+(S578*0.16)+(T578*0.18)+(U578*0.10)+(V578*0.10),2)</x:f>
        <x:v>4.01</x:v>
      </x:c>
      <x:c r="X578" t="str">
        <x:f>IF(W578&gt;=3.55,"Pass","Fail")</x:f>
        <x:v>Pass</x:v>
      </x:c>
      <x:c r="Y578" t="str">
        <x:v>contact point hidden</x:v>
      </x:c>
      <x:c r="Z578" t="str">
        <x:v>Rater note: The intention is clear, especially if you already know the step. A novice might miss the key detail because this issue appears right where the action should be most explicit: contact point hidden. The prompt should prioritize hand path over cinematic lighting. For this automotive example, the main judgment is still whether the viewer can copy the motion.</x:v>
      </x:c>
      <x:c r="AA578" t="str">
        <x:v>Specify the exact contact point and do not allow the hand to cover it.</x:v>
      </x:c>
      <x:c r="AB578" t="str">
        <x:v>High</x:v>
      </x:c>
      <x:c r="AC578" t="str"/>
      <x:c r="AD578" t="str">
        <x:v>Mock rater record for experiment design; audit against real video outputs before publication.</x:v>
      </x:c>
    </x:row>
    <x:row r="579">
      <x:c r="A579" t="str">
        <x:v>S097-Sora-DIR</x:v>
      </x:c>
      <x:c r="B579" t="str">
        <x:v>S097</x:v>
      </x:c>
      <x:c r="C579" t="str">
        <x:v>Automotive</x:v>
      </x:c>
      <x:c r="D579" t="str">
        <x:v>fuses</x:v>
      </x:c>
      <x:c r="E579" t="str">
        <x:v>pulling</x:v>
      </x:c>
      <x:c r="F579" t="n">
        <x:v>3</x:v>
      </x:c>
      <x:c r="G579" t="str">
        <x:v>pull a blade fuse with a fuse puller</x:v>
      </x:c>
      <x:c r="H579" t="str">
        <x:v>fuse puller</x:v>
      </x:c>
      <x:c r="I579" t="str">
        <x:v>blade fuse, fuse box</x:v>
      </x:c>
      <x:c r="J579" t="str">
        <x:v>Sora 2 Pro</x:v>
      </x:c>
      <x:c r="K579" t="str">
        <x:v>Direct Natural Language</x:v>
      </x:c>
      <x:c r="L579" t="str">
        <x:v>Baseline wording only; no explicit decomposition.</x:v>
      </x:c>
      <x:c r="M579" t="str">
        <x:v>Close-up realistic instructional DIY video: pull a blade fuse with a fuse puller. Show fuse puller working on blade fuse, fuse box. Hands visible, stable camera, no text overlay, neutral shop lighting.</x:v>
      </x:c>
      <x:c r="N579" s="14" t="n">
        <x:v>8</x:v>
      </x:c>
      <x:c r="O579" s="14" t="n">
        <x:v>100971</x:v>
      </x:c>
      <x:c r="P579" t="str">
        <x:v>R-A</x:v>
      </x:c>
      <x:c r="Q579" s="12" t="n">
        <x:v>3.56</x:v>
      </x:c>
      <x:c r="R579" s="12" t="n">
        <x:v>4.56</x:v>
      </x:c>
      <x:c r="S579" s="12" t="n">
        <x:v>4.1</x:v>
      </x:c>
      <x:c r="T579" s="12" t="n">
        <x:v>4.19</x:v>
      </x:c>
      <x:c r="U579" s="12" t="n">
        <x:v>3.68</x:v>
      </x:c>
      <x:c r="V579" s="12" t="n">
        <x:v>4.72</x:v>
      </x:c>
      <x:c r="W579" s="12" t="n">
        <x:f>ROUND((Q579*0.24)+(R579*0.22)+(S579*0.16)+(T579*0.18)+(U579*0.10)+(V579*0.10),2)</x:f>
        <x:v>4.11</x:v>
      </x:c>
      <x:c r="X579" t="str">
        <x:f>IF(W579&gt;=3.55,"Pass","Fail")</x:f>
        <x:v>Pass</x:v>
      </x:c>
      <x:c r="Y579" t="str">
        <x:v>minor continuity jump</x:v>
      </x:c>
      <x:c r="Z579" t="str">
        <x:v>Clip review: Usable, but I would not show it without review. The fuse puller is recognizable, yet the exact contact point is hard to see when the hand crosses the frame. The most important fix is to show the before-and-after state without a cut. For this automotive example, the main judgment is still whether the viewer can copy the motion.</x:v>
      </x:c>
      <x:c r="AA579" t="str">
        <x:v>Specify the exact contact point and do not allow the hand to cover it.</x:v>
      </x:c>
      <x:c r="AB579" t="str">
        <x:v>Medium-High</x:v>
      </x:c>
      <x:c r="AC579" t="str"/>
      <x:c r="AD579" t="str">
        <x:v>Planning dataset only; scores are plausible placeholders, not vendor claims.</x:v>
      </x:c>
    </x:row>
    <x:row r="580">
      <x:c r="A580" t="str">
        <x:v>S097-Runway-DIR</x:v>
      </x:c>
      <x:c r="B580" t="str">
        <x:v>S097</x:v>
      </x:c>
      <x:c r="C580" t="str">
        <x:v>Automotive</x:v>
      </x:c>
      <x:c r="D580" t="str">
        <x:v>fuses</x:v>
      </x:c>
      <x:c r="E580" t="str">
        <x:v>pulling</x:v>
      </x:c>
      <x:c r="F580" t="n">
        <x:v>3</x:v>
      </x:c>
      <x:c r="G580" t="str">
        <x:v>pull a blade fuse with a fuse puller</x:v>
      </x:c>
      <x:c r="H580" t="str">
        <x:v>fuse puller</x:v>
      </x:c>
      <x:c r="I580" t="str">
        <x:v>blade fuse, fuse box</x:v>
      </x:c>
      <x:c r="J580" t="str">
        <x:v>Runway Gen-4.5</x:v>
      </x:c>
      <x:c r="K580" t="str">
        <x:v>Direct Natural Language</x:v>
      </x:c>
      <x:c r="L580" t="str">
        <x:v>Baseline wording only; no explicit decomposition.</x:v>
      </x:c>
      <x:c r="M580" t="str">
        <x:v>Close-up realistic instructional DIY video: pull a blade fuse with a fuse puller. Show fuse puller working on blade fuse, fuse box. Hands visible, stable camera, no text overlay, neutral shop lighting.</x:v>
      </x:c>
      <x:c r="N580" s="14" t="n">
        <x:v>5</x:v>
      </x:c>
      <x:c r="O580" s="14" t="n">
        <x:v>100972</x:v>
      </x:c>
      <x:c r="P580" t="str">
        <x:v>R-C</x:v>
      </x:c>
      <x:c r="Q580" s="12" t="n">
        <x:v>4.02</x:v>
      </x:c>
      <x:c r="R580" s="12" t="n">
        <x:v>4.06</x:v>
      </x:c>
      <x:c r="S580" s="12" t="n">
        <x:v>3.97</x:v>
      </x:c>
      <x:c r="T580" s="12" t="n">
        <x:v>3.93</x:v>
      </x:c>
      <x:c r="U580" s="12" t="n">
        <x:v>3.82</x:v>
      </x:c>
      <x:c r="V580" s="12" t="n">
        <x:v>3.55</x:v>
      </x:c>
      <x:c r="W580" s="12" t="n">
        <x:f>ROUND((Q580*0.24)+(R580*0.22)+(S580*0.16)+(T580*0.18)+(U580*0.10)+(V580*0.10),2)</x:f>
        <x:v>3.94</x:v>
      </x:c>
      <x:c r="X580" t="str">
        <x:f>IF(W580&gt;=3.55,"Pass","Fail")</x:f>
        <x:v>Pass</x:v>
      </x:c>
      <x:c r="Y580" t="str">
        <x:v>motion slightly compressed</x:v>
      </x:c>
      <x:c r="Z580" t="str">
        <x:v>QA note: I would keep this as a rough candidate. It communicates the step, although the failure mode makes it weaker than a real sourced clip: motion slightly compressed. On a small preview it might pass, but full-screen review exposes the issue. For this automotive example, the main judgment is still whether the viewer can copy the motion.</x:v>
      </x:c>
      <x:c r="AA580" t="str">
        <x:v>Use a reference image for the fuse puller and specify its grip/orientation in plain language.</x:v>
      </x:c>
      <x:c r="AB580" t="str">
        <x:v>Medium-High</x:v>
      </x:c>
      <x:c r="AC580" t="str"/>
      <x:c r="AD580" t="str">
        <x:v>Simulated pilot row for planning; replace with blinded ratings after generating actual clips.</x:v>
      </x:c>
    </x:row>
    <x:row r="581">
      <x:c r="A581" t="str">
        <x:v>S097-Kling-DIR</x:v>
      </x:c>
      <x:c r="B581" t="str">
        <x:v>S097</x:v>
      </x:c>
      <x:c r="C581" t="str">
        <x:v>Automotive</x:v>
      </x:c>
      <x:c r="D581" t="str">
        <x:v>fuses</x:v>
      </x:c>
      <x:c r="E581" t="str">
        <x:v>pulling</x:v>
      </x:c>
      <x:c r="F581" t="n">
        <x:v>3</x:v>
      </x:c>
      <x:c r="G581" t="str">
        <x:v>pull a blade fuse with a fuse puller</x:v>
      </x:c>
      <x:c r="H581" t="str">
        <x:v>fuse puller</x:v>
      </x:c>
      <x:c r="I581" t="str">
        <x:v>blade fuse, fuse box</x:v>
      </x:c>
      <x:c r="J581" t="str">
        <x:v>Kling v3.0 (Replicate)</x:v>
      </x:c>
      <x:c r="K581" t="str">
        <x:v>Direct Natural Language</x:v>
      </x:c>
      <x:c r="L581" t="str">
        <x:v>Baseline wording only; no explicit decomposition.</x:v>
      </x:c>
      <x:c r="M581" t="str">
        <x:v>Close-up realistic instructional DIY video: pull a blade fuse with a fuse puller. Show fuse puller working on blade fuse, fuse box. Hands visible, stable camera, no text overlay, neutral shop lighting.</x:v>
      </x:c>
      <x:c r="N581" s="14" t="n">
        <x:v>10</x:v>
      </x:c>
      <x:c r="O581" s="14" t="n">
        <x:v>100973</x:v>
      </x:c>
      <x:c r="P581" t="str">
        <x:v>R-E</x:v>
      </x:c>
      <x:c r="Q581" s="12" t="n">
        <x:v>3.58</x:v>
      </x:c>
      <x:c r="R581" s="12" t="n">
        <x:v>3.43</x:v>
      </x:c>
      <x:c r="S581" s="12" t="n">
        <x:v>3.83</x:v>
      </x:c>
      <x:c r="T581" s="12" t="n">
        <x:v>3.11</x:v>
      </x:c>
      <x:c r="U581" s="12" t="n">
        <x:v>3.73</x:v>
      </x:c>
      <x:c r="V581" s="12" t="n">
        <x:v>3.66</x:v>
      </x:c>
      <x:c r="W581" s="12" t="n">
        <x:f>ROUND((Q581*0.24)+(R581*0.22)+(S581*0.16)+(T581*0.18)+(U581*0.10)+(V581*0.10),2)</x:f>
        <x:v>3.53</x:v>
      </x:c>
      <x:c r="X581" t="str">
        <x:f>IF(W581&gt;=3.55,"Pass","Fail")</x:f>
        <x:v>Fail</x:v>
      </x:c>
      <x:c r="Y581" t="str">
        <x:v>action starts too late</x:v>
      </x:c>
      <x:c r="Z581" t="str">
        <x:v>QA note: A reviewer would likely reject this. It may be visually attractive, but the tool/object relationship breaks during the important moment. The issue is subtle visually, but it matters because the clip is supposed to teach the technique. The baseline prompt is likely under-specifying the tool path.</x:v>
      </x:c>
      <x:c r="AA581" t="str">
        <x:v>Use sequential context only for continuity, not for adding previous/next steps into the frame.</x:v>
      </x:c>
      <x:c r="AB581" t="str">
        <x:v>High</x:v>
      </x:c>
      <x:c r="AC581" t="str"/>
      <x:c r="AD581" t="str">
        <x:v>Simulated pilot row for planning; replace with blinded ratings after generating actual clips.</x:v>
      </x:c>
    </x:row>
    <x:row r="582">
      <x:c r="A582" t="str">
        <x:v>S097-Pika-DIR</x:v>
      </x:c>
      <x:c r="B582" t="str">
        <x:v>S097</x:v>
      </x:c>
      <x:c r="C582" t="str">
        <x:v>Automotive</x:v>
      </x:c>
      <x:c r="D582" t="str">
        <x:v>fuses</x:v>
      </x:c>
      <x:c r="E582" t="str">
        <x:v>pulling</x:v>
      </x:c>
      <x:c r="F582" t="n">
        <x:v>3</x:v>
      </x:c>
      <x:c r="G582" t="str">
        <x:v>pull a blade fuse with a fuse puller</x:v>
      </x:c>
      <x:c r="H582" t="str">
        <x:v>fuse puller</x:v>
      </x:c>
      <x:c r="I582" t="str">
        <x:v>blade fuse, fuse box</x:v>
      </x:c>
      <x:c r="J582" t="str">
        <x:v>Pika 2.2</x:v>
      </x:c>
      <x:c r="K582" t="str">
        <x:v>Direct Natural Language</x:v>
      </x:c>
      <x:c r="L582" t="str">
        <x:v>Baseline wording only; no explicit decomposition.</x:v>
      </x:c>
      <x:c r="M582" t="str">
        <x:v>Close-up realistic instructional DIY video: pull a blade fuse with a fuse puller. Show fuse puller working on blade fuse, fuse box. Hands visible, stable camera, no text overlay, neutral shop lighting.</x:v>
      </x:c>
      <x:c r="N582" s="14" t="n">
        <x:v>5</x:v>
      </x:c>
      <x:c r="O582" s="14" t="n">
        <x:v>100974</x:v>
      </x:c>
      <x:c r="P582" t="str">
        <x:v>R-B</x:v>
      </x:c>
      <x:c r="Q582" s="12" t="n">
        <x:v>3.26</x:v>
      </x:c>
      <x:c r="R582" s="12" t="n">
        <x:v>3.53</x:v>
      </x:c>
      <x:c r="S582" s="12" t="n">
        <x:v>3.12</x:v>
      </x:c>
      <x:c r="T582" s="12" t="n">
        <x:v>3.38</x:v>
      </x:c>
      <x:c r="U582" s="12" t="n">
        <x:v>3.16</x:v>
      </x:c>
      <x:c r="V582" s="12" t="n">
        <x:v>3.94</x:v>
      </x:c>
      <x:c r="W582" s="12" t="n">
        <x:f>ROUND((Q582*0.24)+(R582*0.22)+(S582*0.16)+(T582*0.18)+(U582*0.10)+(V582*0.10),2)</x:f>
        <x:v>3.38</x:v>
      </x:c>
      <x:c r="X582" t="str">
        <x:f>IF(W582&gt;=3.55,"Pass","Fail")</x:f>
        <x:v>Fail</x:v>
      </x:c>
      <x:c r="Y582" t="str">
        <x:v>tool floats near object</x:v>
      </x:c>
      <x:c r="Z582" t="str">
        <x:v>Human check: A reviewer would likely reject this. It may be visually attractive, but the tool/object relationship breaks during the important moment. On a small preview it might pass, but full-screen review exposes the issue. The baseline prompt is likely under-specifying the tool path.</x:v>
      </x:c>
      <x:c r="AA582" t="str">
        <x:v>Break the action into start, contact, movement, and finish; ban extra tools and hand morphing.</x:v>
      </x:c>
      <x:c r="AB582" t="str">
        <x:v>Medium</x:v>
      </x:c>
      <x:c r="AC582" t="str"/>
      <x:c r="AD582" t="str">
        <x:v>Planning dataset only; scores are plausible placeholders, not vendor claims.</x:v>
      </x:c>
    </x:row>
    <x:row r="583">
      <x:c r="A583" t="str">
        <x:v>S097-Vidu-DIR</x:v>
      </x:c>
      <x:c r="B583" t="str">
        <x:v>S097</x:v>
      </x:c>
      <x:c r="C583" t="str">
        <x:v>Automotive</x:v>
      </x:c>
      <x:c r="D583" t="str">
        <x:v>fuses</x:v>
      </x:c>
      <x:c r="E583" t="str">
        <x:v>pulling</x:v>
      </x:c>
      <x:c r="F583" t="n">
        <x:v>3</x:v>
      </x:c>
      <x:c r="G583" t="str">
        <x:v>pull a blade fuse with a fuse puller</x:v>
      </x:c>
      <x:c r="H583" t="str">
        <x:v>fuse puller</x:v>
      </x:c>
      <x:c r="I583" t="str">
        <x:v>blade fuse, fuse box</x:v>
      </x:c>
      <x:c r="J583" t="str">
        <x:v>Vidu 2.0</x:v>
      </x:c>
      <x:c r="K583" t="str">
        <x:v>Direct Natural Language</x:v>
      </x:c>
      <x:c r="L583" t="str">
        <x:v>Baseline wording only; no explicit decomposition.</x:v>
      </x:c>
      <x:c r="M583" t="str">
        <x:v>Close-up realistic instructional DIY video: pull a blade fuse with a fuse puller. Show fuse puller working on blade fuse, fuse box. Hands visible, stable camera, no text overlay, neutral shop lighting.</x:v>
      </x:c>
      <x:c r="N583" s="14" t="n">
        <x:v>5</x:v>
      </x:c>
      <x:c r="O583" s="14" t="n">
        <x:v>100975</x:v>
      </x:c>
      <x:c r="P583" t="str">
        <x:v>R-B</x:v>
      </x:c>
      <x:c r="Q583" s="12" t="n">
        <x:v>3.02</x:v>
      </x:c>
      <x:c r="R583" s="12" t="n">
        <x:v>3.41</x:v>
      </x:c>
      <x:c r="S583" s="12" t="n">
        <x:v>2.81</x:v>
      </x:c>
      <x:c r="T583" s="12" t="n">
        <x:v>3.27</x:v>
      </x:c>
      <x:c r="U583" s="12" t="n">
        <x:v>2.86</x:v>
      </x:c>
      <x:c r="V583" s="12" t="n">
        <x:v>3.17</x:v>
      </x:c>
      <x:c r="W583" s="12" t="n">
        <x:f>ROUND((Q583*0.24)+(R583*0.22)+(S583*0.16)+(T583*0.18)+(U583*0.10)+(V583*0.10),2)</x:f>
        <x:v>3.12</x:v>
      </x:c>
      <x:c r="X583" t="str">
        <x:f>IF(W583&gt;=3.55,"Pass","Fail")</x:f>
        <x:v>Fail</x:v>
      </x:c>
      <x:c r="Y583" t="str">
        <x:v>scale of tool is off</x:v>
      </x:c>
      <x:c r="Z583" t="str">
        <x:v>Human check: The generated clip loses the procedure. I would re-run with a reference frame and a stricter Action-Object-Tool prompt. I marked it down for the key moment rather than the opening setup. The baseline prompt is likely under-specifying the tool path.</x:v>
      </x:c>
      <x:c r="AA583" t="str">
        <x:v>Add a one-sentence end-state requirement: viewer must see the completed pulling result for one full second.</x:v>
      </x:c>
      <x:c r="AB583" t="str">
        <x:v>Medium</x:v>
      </x:c>
      <x:c r="AC583" t="str"/>
      <x:c r="AD583" t="str">
        <x:v>Planning dataset only; scores are plausible placeholders, not vendor claims.</x:v>
      </x:c>
    </x:row>
    <x:row r="584">
      <x:c r="A584" t="str">
        <x:v>S098-Veo-STR</x:v>
      </x:c>
      <x:c r="B584" t="str">
        <x:v>S098</x:v>
      </x:c>
      <x:c r="C584" t="str">
        <x:v>Automotive</x:v>
      </x:c>
      <x:c r="D584" t="str">
        <x:v>tire service</x:v>
      </x:c>
      <x:c r="E584" t="str">
        <x:v>loosening</x:v>
      </x:c>
      <x:c r="F584" t="n">
        <x:v>5</x:v>
      </x:c>
      <x:c r="G584" t="str">
        <x:v>break lug nuts loose before lifting the vehicle</x:v>
      </x:c>
      <x:c r="H584" t="str">
        <x:v>lug wrench</x:v>
      </x:c>
      <x:c r="I584" t="str">
        <x:v>wheel lug nuts</x:v>
      </x:c>
      <x:c r="J584" t="str">
        <x:v>Veo 3.1</x:v>
      </x:c>
      <x:c r="K584" t="str">
        <x:v>Structured Action-Object-Tool</x:v>
      </x:c>
      <x:c r="L584" t="str">
        <x:v>Action, tool, object, grip, contact point, start/end states.</x:v>
      </x:c>
      <x:c r="M584" t="str">
        <x:v>Close-up realistic instructional DIY video: break lug nuts loose before lifting the vehicle. Show lug wrench working on wheel lug nuts. Hands visible, stable camera, no text overlay, neutral shop lighting. Action=loosening; tool=lug wrench; object/material=wheel lug nuts; show tool-to-object contact; start state, motion, and finished state all visible.</x:v>
      </x:c>
      <x:c r="N584" s="14" t="n">
        <x:v>8</x:v>
      </x:c>
      <x:c r="O584" s="14" t="n">
        <x:v>100980</x:v>
      </x:c>
      <x:c r="P584" t="str">
        <x:v>R-B</x:v>
      </x:c>
      <x:c r="Q584" s="12" t="n">
        <x:v>4.08</x:v>
      </x:c>
      <x:c r="R584" s="12" t="n">
        <x:v>4.28</x:v>
      </x:c>
      <x:c r="S584" s="12" t="n">
        <x:v>4.4</x:v>
      </x:c>
      <x:c r="T584" s="12" t="n">
        <x:v>3.43</x:v>
      </x:c>
      <x:c r="U584" s="12" t="n">
        <x:v>3.52</x:v>
      </x:c>
      <x:c r="V584" s="12" t="n">
        <x:v>3.64</x:v>
      </x:c>
      <x:c r="W584" s="12" t="n">
        <x:f>ROUND((Q584*0.24)+(R584*0.22)+(S584*0.16)+(T584*0.18)+(U584*0.10)+(V584*0.10),2)</x:f>
        <x:v>3.96</x:v>
      </x:c>
      <x:c r="X584" t="str">
        <x:f>IF(W584&gt;=3.55,"Pass","Fail")</x:f>
        <x:v>Pass</x:v>
      </x:c>
      <x:c r="Y584" t="str">
        <x:v>missing safety cue</x:v>
      </x:c>
      <x:c r="Z584" t="str">
        <x:v>Review note: Usable, but I would not show it without review. The lug wrench is recognizable, yet the exact contact point is hard to see when the hand crosses the frame. This would be safer as a reference-aided run than a text-only run. For this automotive example, the main judgment is still whether the viewer can copy the motion.</x:v>
      </x:c>
      <x:c r="AA584" t="str">
        <x:v>Use a reference image for the lug wrench and specify its grip/orientation in plain language.</x:v>
      </x:c>
      <x:c r="AB584" t="str">
        <x:v>Medium-High</x:v>
      </x:c>
      <x:c r="AC584" t="str"/>
      <x:c r="AD584" t="str">
        <x:v>Simulated pilot row for planning; replace with blinded ratings after generating actual clips.</x:v>
      </x:c>
    </x:row>
    <x:row r="585">
      <x:c r="A585" t="str">
        <x:v>S098-Sora-STR</x:v>
      </x:c>
      <x:c r="B585" t="str">
        <x:v>S098</x:v>
      </x:c>
      <x:c r="C585" t="str">
        <x:v>Automotive</x:v>
      </x:c>
      <x:c r="D585" t="str">
        <x:v>tire service</x:v>
      </x:c>
      <x:c r="E585" t="str">
        <x:v>loosening</x:v>
      </x:c>
      <x:c r="F585" t="n">
        <x:v>5</x:v>
      </x:c>
      <x:c r="G585" t="str">
        <x:v>break lug nuts loose before lifting the vehicle</x:v>
      </x:c>
      <x:c r="H585" t="str">
        <x:v>lug wrench</x:v>
      </x:c>
      <x:c r="I585" t="str">
        <x:v>wheel lug nuts</x:v>
      </x:c>
      <x:c r="J585" t="str">
        <x:v>Sora 2 Pro</x:v>
      </x:c>
      <x:c r="K585" t="str">
        <x:v>Structured Action-Object-Tool</x:v>
      </x:c>
      <x:c r="L585" t="str">
        <x:v>Action, tool, object, grip, contact point, start/end states.</x:v>
      </x:c>
      <x:c r="M585" t="str">
        <x:v>Close-up realistic instructional DIY video: break lug nuts loose before lifting the vehicle. Show lug wrench working on wheel lug nuts. Hands visible, stable camera, no text overlay, neutral shop lighting. Action=loosening; tool=lug wrench; object/material=wheel lug nuts; show tool-to-object contact; start state, motion, and finished state all visible.</x:v>
      </x:c>
      <x:c r="N585" s="14" t="n">
        <x:v>8</x:v>
      </x:c>
      <x:c r="O585" s="14" t="n">
        <x:v>100981</x:v>
      </x:c>
      <x:c r="P585" t="str">
        <x:v>R-E</x:v>
      </x:c>
      <x:c r="Q585" s="12" t="n">
        <x:v>3.9</x:v>
      </x:c>
      <x:c r="R585" s="12" t="n">
        <x:v>4</x:v>
      </x:c>
      <x:c r="S585" s="12" t="n">
        <x:v>3.95</x:v>
      </x:c>
      <x:c r="T585" s="12" t="n">
        <x:v>3.72</x:v>
      </x:c>
      <x:c r="U585" s="12" t="n">
        <x:v>4.3</x:v>
      </x:c>
      <x:c r="V585" s="12" t="n">
        <x:v>4.05</x:v>
      </x:c>
      <x:c r="W585" s="12" t="n">
        <x:f>ROUND((Q585*0.24)+(R585*0.22)+(S585*0.16)+(T585*0.18)+(U585*0.10)+(V585*0.10),2)</x:f>
        <x:v>3.95</x:v>
      </x:c>
      <x:c r="X585" t="str">
        <x:f>IF(W585&gt;=3.55,"Pass","Fail")</x:f>
        <x:v>Pass</x:v>
      </x:c>
      <x:c r="Y585" t="str">
        <x:v>missing safety cue</x:v>
      </x:c>
      <x:c r="Z585" t="str">
        <x:v>Rater note: I would keep this as a rough candidate. It communicates the step, although the failure mode makes it weaker than a real sourced clip: missing safety cue. I marked it down for the key moment rather than the opening setup. For this automotive example, the main judgment is still whether the viewer can copy the motion.</x:v>
      </x:c>
      <x:c r="AA585" t="str">
        <x:v>Use sequential context only for continuity, not for adding previous/next steps into the frame.</x:v>
      </x:c>
      <x:c r="AB585" t="str">
        <x:v>Medium-High</x:v>
      </x:c>
      <x:c r="AC585" t="str"/>
      <x:c r="AD585" t="str">
        <x:v>Planning dataset only; scores are plausible placeholders, not vendor claims.</x:v>
      </x:c>
    </x:row>
    <x:row r="586">
      <x:c r="A586" t="str">
        <x:v>S098-Runway-STR</x:v>
      </x:c>
      <x:c r="B586" t="str">
        <x:v>S098</x:v>
      </x:c>
      <x:c r="C586" t="str">
        <x:v>Automotive</x:v>
      </x:c>
      <x:c r="D586" t="str">
        <x:v>tire service</x:v>
      </x:c>
      <x:c r="E586" t="str">
        <x:v>loosening</x:v>
      </x:c>
      <x:c r="F586" t="n">
        <x:v>5</x:v>
      </x:c>
      <x:c r="G586" t="str">
        <x:v>break lug nuts loose before lifting the vehicle</x:v>
      </x:c>
      <x:c r="H586" t="str">
        <x:v>lug wrench</x:v>
      </x:c>
      <x:c r="I586" t="str">
        <x:v>wheel lug nuts</x:v>
      </x:c>
      <x:c r="J586" t="str">
        <x:v>Runway Gen-4.5</x:v>
      </x:c>
      <x:c r="K586" t="str">
        <x:v>Structured Action-Object-Tool</x:v>
      </x:c>
      <x:c r="L586" t="str">
        <x:v>Action, tool, object, grip, contact point, start/end states.</x:v>
      </x:c>
      <x:c r="M586" t="str">
        <x:v>Close-up realistic instructional DIY video: break lug nuts loose before lifting the vehicle. Show lug wrench working on wheel lug nuts. Hands visible, stable camera, no text overlay, neutral shop lighting. Action=loosening; tool=lug wrench; object/material=wheel lug nuts; show tool-to-object contact; start state, motion, and finished state all visible.</x:v>
      </x:c>
      <x:c r="N586" s="14" t="n">
        <x:v>5</x:v>
      </x:c>
      <x:c r="O586" s="14" t="n">
        <x:v>100982</x:v>
      </x:c>
      <x:c r="P586" t="str">
        <x:v>R-B</x:v>
      </x:c>
      <x:c r="Q586" s="12" t="n">
        <x:v>2.77</x:v>
      </x:c>
      <x:c r="R586" s="12" t="n">
        <x:v>3.3</x:v>
      </x:c>
      <x:c r="S586" s="12" t="n">
        <x:v>4.15</x:v>
      </x:c>
      <x:c r="T586" s="12" t="n">
        <x:v>4.14</x:v>
      </x:c>
      <x:c r="U586" s="12" t="n">
        <x:v>3.01</x:v>
      </x:c>
      <x:c r="V586" s="12" t="n">
        <x:v>3.22</x:v>
      </x:c>
      <x:c r="W586" s="12" t="n">
        <x:f>ROUND((Q586*0.24)+(R586*0.22)+(S586*0.16)+(T586*0.18)+(U586*0.10)+(V586*0.10),2)</x:f>
        <x:v>3.42</x:v>
      </x:c>
      <x:c r="X586" t="str">
        <x:f>IF(W586&gt;=3.55,"Pass","Fail")</x:f>
        <x:v>Fail</x:v>
      </x:c>
      <x:c r="Y586" t="str">
        <x:v>missing safety cue</x:v>
      </x:c>
      <x:c r="Z586" t="str">
        <x:v>Clip review: A reviewer would likely reject this. It may be visually attractive, but the tool/object relationship breaks during the important moment. The clip needs a verifier pass before it can enter the training pool. For this automotive example, the main judgment is still whether the viewer can copy the motion.</x:v>
      </x:c>
      <x:c r="AA586" t="str">
        <x:v>Specify the exact contact point and do not allow the hand to cover it.</x:v>
      </x:c>
      <x:c r="AB586" t="str">
        <x:v>Medium</x:v>
      </x:c>
      <x:c r="AC586" t="str"/>
      <x:c r="AD586" t="str">
        <x:v>Mock rater record for experiment design; audit against real video outputs before publication.</x:v>
      </x:c>
    </x:row>
    <x:row r="587">
      <x:c r="A587" t="str">
        <x:v>S098-Kling-STR</x:v>
      </x:c>
      <x:c r="B587" t="str">
        <x:v>S098</x:v>
      </x:c>
      <x:c r="C587" t="str">
        <x:v>Automotive</x:v>
      </x:c>
      <x:c r="D587" t="str">
        <x:v>tire service</x:v>
      </x:c>
      <x:c r="E587" t="str">
        <x:v>loosening</x:v>
      </x:c>
      <x:c r="F587" t="n">
        <x:v>5</x:v>
      </x:c>
      <x:c r="G587" t="str">
        <x:v>break lug nuts loose before lifting the vehicle</x:v>
      </x:c>
      <x:c r="H587" t="str">
        <x:v>lug wrench</x:v>
      </x:c>
      <x:c r="I587" t="str">
        <x:v>wheel lug nuts</x:v>
      </x:c>
      <x:c r="J587" t="str">
        <x:v>Kling v3.0 (Replicate)</x:v>
      </x:c>
      <x:c r="K587" t="str">
        <x:v>Structured Action-Object-Tool</x:v>
      </x:c>
      <x:c r="L587" t="str">
        <x:v>Action, tool, object, grip, contact point, start/end states.</x:v>
      </x:c>
      <x:c r="M587" t="str">
        <x:v>Close-up realistic instructional DIY video: break lug nuts loose before lifting the vehicle. Show lug wrench working on wheel lug nuts. Hands visible, stable camera, no text overlay, neutral shop lighting. Action=loosening; tool=lug wrench; object/material=wheel lug nuts; show tool-to-object contact; start state, motion, and finished state all visible.</x:v>
      </x:c>
      <x:c r="N587" s="14" t="n">
        <x:v>10</x:v>
      </x:c>
      <x:c r="O587" s="14" t="n">
        <x:v>100983</x:v>
      </x:c>
      <x:c r="P587" t="str">
        <x:v>R-B</x:v>
      </x:c>
      <x:c r="Q587" s="12" t="n">
        <x:v>2.82</x:v>
      </x:c>
      <x:c r="R587" s="12" t="n">
        <x:v>3.09</x:v>
      </x:c>
      <x:c r="S587" s="12" t="n">
        <x:v>2.94</x:v>
      </x:c>
      <x:c r="T587" s="12" t="n">
        <x:v>3.13</x:v>
      </x:c>
      <x:c r="U587" s="12" t="n">
        <x:v>3.19</x:v>
      </x:c>
      <x:c r="V587" s="12" t="n">
        <x:v>3.69</x:v>
      </x:c>
      <x:c r="W587" s="12" t="n">
        <x:f>ROUND((Q587*0.24)+(R587*0.22)+(S587*0.16)+(T587*0.18)+(U587*0.10)+(V587*0.10),2)</x:f>
        <x:v>3.08</x:v>
      </x:c>
      <x:c r="X587" t="str">
        <x:f>IF(W587&gt;=3.55,"Pass","Fail")</x:f>
        <x:v>Fail</x:v>
      </x:c>
      <x:c r="Y587" t="str">
        <x:v>sequence reversed</x:v>
      </x:c>
      <x:c r="Z587" t="str">
        <x:v>Rater note: Too much is being implied. The lug wrench and wheel lug nuts are in the scene, but the motion does not demonstrate the actual repair step. The issue is subtle visually, but it matters because the clip is supposed to teach the technique. For this automotive example, the main judgment is still whether the viewer can copy the motion.</x:v>
      </x:c>
      <x:c r="AA587" t="str">
        <x:v>Ask for a static close-up and require the lug wrench to touch the wheel lug nuts before any motion starts.</x:v>
      </x:c>
      <x:c r="AB587" t="str">
        <x:v>Medium</x:v>
      </x:c>
      <x:c r="AC587" t="str"/>
      <x:c r="AD587" t="str">
        <x:v>Synthetic benchmark entry; generated clip URL should be filled after API run.</x:v>
      </x:c>
    </x:row>
    <x:row r="588">
      <x:c r="A588" t="str">
        <x:v>S098-Pika-STR</x:v>
      </x:c>
      <x:c r="B588" t="str">
        <x:v>S098</x:v>
      </x:c>
      <x:c r="C588" t="str">
        <x:v>Automotive</x:v>
      </x:c>
      <x:c r="D588" t="str">
        <x:v>tire service</x:v>
      </x:c>
      <x:c r="E588" t="str">
        <x:v>loosening</x:v>
      </x:c>
      <x:c r="F588" t="n">
        <x:v>5</x:v>
      </x:c>
      <x:c r="G588" t="str">
        <x:v>break lug nuts loose before lifting the vehicle</x:v>
      </x:c>
      <x:c r="H588" t="str">
        <x:v>lug wrench</x:v>
      </x:c>
      <x:c r="I588" t="str">
        <x:v>wheel lug nuts</x:v>
      </x:c>
      <x:c r="J588" t="str">
        <x:v>Pika 2.2</x:v>
      </x:c>
      <x:c r="K588" t="str">
        <x:v>Structured Action-Object-Tool</x:v>
      </x:c>
      <x:c r="L588" t="str">
        <x:v>Action, tool, object, grip, contact point, start/end states.</x:v>
      </x:c>
      <x:c r="M588" t="str">
        <x:v>Close-up realistic instructional DIY video: break lug nuts loose before lifting the vehicle. Show lug wrench working on wheel lug nuts. Hands visible, stable camera, no text overlay, neutral shop lighting. Action=loosening; tool=lug wrench; object/material=wheel lug nuts; show tool-to-object contact; start state, motion, and finished state all visible.</x:v>
      </x:c>
      <x:c r="N588" s="14" t="n">
        <x:v>5</x:v>
      </x:c>
      <x:c r="O588" s="14" t="n">
        <x:v>100984</x:v>
      </x:c>
      <x:c r="P588" t="str">
        <x:v>R-C</x:v>
      </x:c>
      <x:c r="Q588" s="12" t="n">
        <x:v>2.73</x:v>
      </x:c>
      <x:c r="R588" s="12" t="n">
        <x:v>3.56</x:v>
      </x:c>
      <x:c r="S588" s="12" t="n">
        <x:v>3.03</x:v>
      </x:c>
      <x:c r="T588" s="12" t="n">
        <x:v>2.7</x:v>
      </x:c>
      <x:c r="U588" s="12" t="n">
        <x:v>3.37</x:v>
      </x:c>
      <x:c r="V588" s="12" t="n">
        <x:v>3.34</x:v>
      </x:c>
      <x:c r="W588" s="12" t="n">
        <x:f>ROUND((Q588*0.24)+(R588*0.22)+(S588*0.16)+(T588*0.18)+(U588*0.10)+(V588*0.10),2)</x:f>
        <x:v>3.08</x:v>
      </x:c>
      <x:c r="X588" t="str">
        <x:f>IF(W588&gt;=3.55,"Pass","Fail")</x:f>
        <x:v>Fail</x:v>
      </x:c>
      <x:c r="Y588" t="str">
        <x:v>missing safety cue</x:v>
      </x:c>
      <x:c r="Z588" t="str">
        <x:v>Human check: A reviewer would likely reject this. It may be visually attractive, but the tool/object relationship breaks during the important moment. The prompt should prioritize hand path over cinematic lighting. For this automotive example, the main judgment is still whether the viewer can copy the motion.</x:v>
      </x:c>
      <x:c r="AA588" t="str">
        <x:v>Move safety language earlier in the prompt and remove cinematic camera instructions.</x:v>
      </x:c>
      <x:c r="AB588" t="str">
        <x:v>Medium-High</x:v>
      </x:c>
      <x:c r="AC588" t="str"/>
      <x:c r="AD588" t="str">
        <x:v>Simulated pilot row for planning; replace with blinded ratings after generating actual clips.</x:v>
      </x:c>
    </x:row>
    <x:row r="589">
      <x:c r="A589" t="str">
        <x:v>S098-Vidu-STR</x:v>
      </x:c>
      <x:c r="B589" t="str">
        <x:v>S098</x:v>
      </x:c>
      <x:c r="C589" t="str">
        <x:v>Automotive</x:v>
      </x:c>
      <x:c r="D589" t="str">
        <x:v>tire service</x:v>
      </x:c>
      <x:c r="E589" t="str">
        <x:v>loosening</x:v>
      </x:c>
      <x:c r="F589" t="n">
        <x:v>5</x:v>
      </x:c>
      <x:c r="G589" t="str">
        <x:v>break lug nuts loose before lifting the vehicle</x:v>
      </x:c>
      <x:c r="H589" t="str">
        <x:v>lug wrench</x:v>
      </x:c>
      <x:c r="I589" t="str">
        <x:v>wheel lug nuts</x:v>
      </x:c>
      <x:c r="J589" t="str">
        <x:v>Vidu 2.0</x:v>
      </x:c>
      <x:c r="K589" t="str">
        <x:v>Structured Action-Object-Tool</x:v>
      </x:c>
      <x:c r="L589" t="str">
        <x:v>Action, tool, object, grip, contact point, start/end states.</x:v>
      </x:c>
      <x:c r="M589" t="str">
        <x:v>Close-up realistic instructional DIY video: break lug nuts loose before lifting the vehicle. Show lug wrench working on wheel lug nuts. Hands visible, stable camera, no text overlay, neutral shop lighting. Action=loosening; tool=lug wrench; object/material=wheel lug nuts; show tool-to-object contact; start state, motion, and finished state all visible.</x:v>
      </x:c>
      <x:c r="N589" s="14" t="n">
        <x:v>5</x:v>
      </x:c>
      <x:c r="O589" s="14" t="n">
        <x:v>100985</x:v>
      </x:c>
      <x:c r="P589" t="str">
        <x:v>R-B</x:v>
      </x:c>
      <x:c r="Q589" s="12" t="n">
        <x:v>3.58</x:v>
      </x:c>
      <x:c r="R589" s="12" t="n">
        <x:v>2.84</x:v>
      </x:c>
      <x:c r="S589" s="12" t="n">
        <x:v>3.41</x:v>
      </x:c>
      <x:c r="T589" s="12" t="n">
        <x:v>2.92</x:v>
      </x:c>
      <x:c r="U589" s="12" t="n">
        <x:v>2.75</x:v>
      </x:c>
      <x:c r="V589" s="12" t="n">
        <x:v>2.62</x:v>
      </x:c>
      <x:c r="W589" s="12" t="n">
        <x:f>ROUND((Q589*0.24)+(R589*0.22)+(S589*0.16)+(T589*0.18)+(U589*0.10)+(V589*0.10),2)</x:f>
        <x:v>3.09</x:v>
      </x:c>
      <x:c r="X589" t="str">
        <x:f>IF(W589&gt;=3.55,"Pass","Fail")</x:f>
        <x:v>Fail</x:v>
      </x:c>
      <x:c r="Y589" t="str">
        <x:v>missing contact point</x:v>
      </x:c>
      <x:c r="Z589" t="str">
        <x:v>QA note: The clip looks like generic DIY stock footage rather than this specific step. The main problem is missing contact point, and the end state is not verifiable. This would be safer as a reference-aided run than a text-only run. For this automotive example, the main judgment is still whether the viewer can copy the motion.</x:v>
      </x:c>
      <x:c r="AA589" t="str">
        <x:v>Ask for a static close-up and require the lug wrench to touch the wheel lug nuts before any motion starts.</x:v>
      </x:c>
      <x:c r="AB589" t="str">
        <x:v>Medium-High</x:v>
      </x:c>
      <x:c r="AC589" t="str"/>
      <x:c r="AD589" t="str">
        <x:v>Planning dataset only; scores are plausible placeholders, not vendor claims.</x:v>
      </x:c>
    </x:row>
    <x:row r="590">
      <x:c r="A590" t="str">
        <x:v>S099-Veo-MET</x:v>
      </x:c>
      <x:c r="B590" t="str">
        <x:v>S099</x:v>
      </x:c>
      <x:c r="C590" t="str">
        <x:v>Automotive</x:v>
      </x:c>
      <x:c r="D590" t="str">
        <x:v>cleanup</x:v>
      </x:c>
      <x:c r="E590" t="str">
        <x:v>wiping</x:v>
      </x:c>
      <x:c r="F590" t="n">
        <x:v>2</x:v>
      </x:c>
      <x:c r="G590" t="str">
        <x:v>wipe spilled oil from the filler neck</x:v>
      </x:c>
      <x:c r="H590" t="str">
        <x:v>shop towel</x:v>
      </x:c>
      <x:c r="I590" t="str">
        <x:v>oil filler neck</x:v>
      </x:c>
      <x:c r="J590" t="str">
        <x:v>Veo 3.1</x:v>
      </x:c>
      <x:c r="K590" t="str">
        <x:v>Metadata-Enriched</x:v>
      </x:c>
      <x:c r="L590" t="str">
        <x:v>Uses clipDescription, clipSummary, toolNames, suppliesNames, processTechniques, safetyEquipment.</x:v>
      </x:c>
      <x:c r="M590" t="str">
        <x:v>Close-up realistic instructional DIY video: wipe spilled oil from the filler neck. Show shop towel working on oil filler neck. Hands visible, stable camera, no text overlay, neutral shop lighting. clipDescription='wipe spilled oil from the filler neck'. clipSummary='one practical repair step'. toolNames='shop towel'. suppliesNames='oil filler neck'. processTechnique='wiping'. Safety cue: use normal homeowner precautions and avoid risky shortcuts.</x:v>
      </x:c>
      <x:c r="N590" s="14" t="n">
        <x:v>8</x:v>
      </x:c>
      <x:c r="O590" s="14" t="n">
        <x:v>100990</x:v>
      </x:c>
      <x:c r="P590" t="str">
        <x:v>R-E</x:v>
      </x:c>
      <x:c r="Q590" s="12" t="n">
        <x:v>4.85</x:v>
      </x:c>
      <x:c r="R590" s="12" t="n">
        <x:v>4.7</x:v>
      </x:c>
      <x:c r="S590" s="12" t="n">
        <x:v>4.99</x:v>
      </x:c>
      <x:c r="T590" s="12" t="n">
        <x:v>4.88</x:v>
      </x:c>
      <x:c r="U590" s="12" t="n">
        <x:v>4.02</x:v>
      </x:c>
      <x:c r="V590" s="12" t="n">
        <x:v>4.27</x:v>
      </x:c>
      <x:c r="W590" s="12" t="n">
        <x:f>ROUND((Q590*0.24)+(R590*0.22)+(S590*0.16)+(T590*0.18)+(U590*0.10)+(V590*0.10),2)</x:f>
        <x:v>4.7</x:v>
      </x:c>
      <x:c r="X590" t="str">
        <x:f>IF(W590&gt;=3.55,"Pass","Fail")</x:f>
        <x:v>Pass</x:v>
      </x:c>
      <x:c r="Y590" t="str">
        <x:v>none</x:v>
      </x:c>
      <x:c r="Z590" t="str">
        <x:v>QA note: This one would probably pass a quick review. The shop towel stays believable, the start and end states are easy to read, and the only nit is that slightly staged tool contact. This reads better as a teaser than as an instructional clip. For this automotive example, the main judgment is still whether the viewer can copy the motion.</x:v>
      </x:c>
      <x:c r="AA590" t="str">
        <x:v>No immediate re-run; keep as candidate and verify with a second rater.</x:v>
      </x:c>
      <x:c r="AB590" t="str">
        <x:v>High</x:v>
      </x:c>
      <x:c r="AC590" t="str"/>
      <x:c r="AD590" t="str">
        <x:v>Planning dataset only; scores are plausible placeholders, not vendor claims.</x:v>
      </x:c>
    </x:row>
    <x:row r="591">
      <x:c r="A591" t="str">
        <x:v>S099-Sora-MET</x:v>
      </x:c>
      <x:c r="B591" t="str">
        <x:v>S099</x:v>
      </x:c>
      <x:c r="C591" t="str">
        <x:v>Automotive</x:v>
      </x:c>
      <x:c r="D591" t="str">
        <x:v>cleanup</x:v>
      </x:c>
      <x:c r="E591" t="str">
        <x:v>wiping</x:v>
      </x:c>
      <x:c r="F591" t="n">
        <x:v>2</x:v>
      </x:c>
      <x:c r="G591" t="str">
        <x:v>wipe spilled oil from the filler neck</x:v>
      </x:c>
      <x:c r="H591" t="str">
        <x:v>shop towel</x:v>
      </x:c>
      <x:c r="I591" t="str">
        <x:v>oil filler neck</x:v>
      </x:c>
      <x:c r="J591" t="str">
        <x:v>Sora 2 Pro</x:v>
      </x:c>
      <x:c r="K591" t="str">
        <x:v>Metadata-Enriched</x:v>
      </x:c>
      <x:c r="L591" t="str">
        <x:v>Uses clipDescription, clipSummary, toolNames, suppliesNames, processTechniques, safetyEquipment.</x:v>
      </x:c>
      <x:c r="M591" t="str">
        <x:v>Close-up realistic instructional DIY video: wipe spilled oil from the filler neck. Show shop towel working on oil filler neck. Hands visible, stable camera, no text overlay, neutral shop lighting. clipDescription='wipe spilled oil from the filler neck'. clipSummary='one practical repair step'. toolNames='shop towel'. suppliesNames='oil filler neck'. processTechnique='wiping'. Safety cue: use normal homeowner precautions and avoid risky shortcuts.</x:v>
      </x:c>
      <x:c r="N591" s="14" t="n">
        <x:v>8</x:v>
      </x:c>
      <x:c r="O591" s="14" t="n">
        <x:v>100991</x:v>
      </x:c>
      <x:c r="P591" t="str">
        <x:v>R-E</x:v>
      </x:c>
      <x:c r="Q591" s="12" t="n">
        <x:v>4.57</x:v>
      </x:c>
      <x:c r="R591" s="12" t="n">
        <x:v>4.2</x:v>
      </x:c>
      <x:c r="S591" s="12" t="n">
        <x:v>3.94</x:v>
      </x:c>
      <x:c r="T591" s="12" t="n">
        <x:v>4.2</x:v>
      </x:c>
      <x:c r="U591" s="12" t="n">
        <x:v>4.12</x:v>
      </x:c>
      <x:c r="V591" s="12" t="n">
        <x:v>3.86</x:v>
      </x:c>
      <x:c r="W591" s="12" t="n">
        <x:f>ROUND((Q591*0.24)+(R591*0.22)+(S591*0.16)+(T591*0.18)+(U591*0.10)+(V591*0.10),2)</x:f>
        <x:v>4.21</x:v>
      </x:c>
      <x:c r="X591" t="str">
        <x:f>IF(W591&gt;=3.55,"Pass","Fail")</x:f>
        <x:v>Pass</x:v>
      </x:c>
      <x:c r="Y591" t="str">
        <x:v>none</x:v>
      </x:c>
      <x:c r="Z591" t="str">
        <x:v>Review note: The clip feels like a usable shop-demo take. I can see the hand position and the oil filler neck; it just needs a slightly longer hold on the final state. This would be safer as a reference-aided run than a text-only run. For this automotive example, the main judgment is still whether the viewer can copy the motion.</x:v>
      </x:c>
      <x:c r="AA591" t="str">
        <x:v>Use sequential context only for continuity, not for adding previous/next steps into the frame.</x:v>
      </x:c>
      <x:c r="AB591" t="str">
        <x:v>Medium</x:v>
      </x:c>
      <x:c r="AC591" t="str"/>
      <x:c r="AD591" t="str">
        <x:v>Simulated pilot row for planning; replace with blinded ratings after generating actual clips.</x:v>
      </x:c>
    </x:row>
    <x:row r="592">
      <x:c r="A592" t="str">
        <x:v>S099-Runway-MET</x:v>
      </x:c>
      <x:c r="B592" t="str">
        <x:v>S099</x:v>
      </x:c>
      <x:c r="C592" t="str">
        <x:v>Automotive</x:v>
      </x:c>
      <x:c r="D592" t="str">
        <x:v>cleanup</x:v>
      </x:c>
      <x:c r="E592" t="str">
        <x:v>wiping</x:v>
      </x:c>
      <x:c r="F592" t="n">
        <x:v>2</x:v>
      </x:c>
      <x:c r="G592" t="str">
        <x:v>wipe spilled oil from the filler neck</x:v>
      </x:c>
      <x:c r="H592" t="str">
        <x:v>shop towel</x:v>
      </x:c>
      <x:c r="I592" t="str">
        <x:v>oil filler neck</x:v>
      </x:c>
      <x:c r="J592" t="str">
        <x:v>Runway Gen-4.5</x:v>
      </x:c>
      <x:c r="K592" t="str">
        <x:v>Metadata-Enriched</x:v>
      </x:c>
      <x:c r="L592" t="str">
        <x:v>Uses clipDescription, clipSummary, toolNames, suppliesNames, processTechniques, safetyEquipment.</x:v>
      </x:c>
      <x:c r="M592" t="str">
        <x:v>Close-up realistic instructional DIY video: wipe spilled oil from the filler neck. Show shop towel working on oil filler neck. Hands visible, stable camera, no text overlay, neutral shop lighting. clipDescription='wipe spilled oil from the filler neck'. clipSummary='one practical repair step'. toolNames='shop towel'. suppliesNames='oil filler neck'. processTechnique='wiping'. Safety cue: use normal homeowner precautions and avoid risky shortcuts.</x:v>
      </x:c>
      <x:c r="N592" s="14" t="n">
        <x:v>5</x:v>
      </x:c>
      <x:c r="O592" s="14" t="n">
        <x:v>100992</x:v>
      </x:c>
      <x:c r="P592" t="str">
        <x:v>R-D</x:v>
      </x:c>
      <x:c r="Q592" s="12" t="n">
        <x:v>4.54</x:v>
      </x:c>
      <x:c r="R592" s="12" t="n">
        <x:v>3.68</x:v>
      </x:c>
      <x:c r="S592" s="12" t="n">
        <x:v>3.94</x:v>
      </x:c>
      <x:c r="T592" s="12" t="n">
        <x:v>3.57</x:v>
      </x:c>
      <x:c r="U592" s="12" t="n">
        <x:v>4</x:v>
      </x:c>
      <x:c r="V592" s="12" t="n">
        <x:v>4.31</x:v>
      </x:c>
      <x:c r="W592" s="12" t="n">
        <x:f>ROUND((Q592*0.24)+(R592*0.22)+(S592*0.16)+(T592*0.18)+(U592*0.10)+(V592*0.10),2)</x:f>
        <x:v>4</x:v>
      </x:c>
      <x:c r="X592" t="str">
        <x:f>IF(W592&gt;=3.55,"Pass","Fail")</x:f>
        <x:v>Pass</x:v>
      </x:c>
      <x:c r="Y592" t="str">
        <x:v>motion slightly compressed</x:v>
      </x:c>
      <x:c r="Z592" t="str">
        <x:v>Human check: Usable, but I would not show it without review. The shop towel is recognizable, yet the exact contact point is hard to see when the hand crosses the frame. The mistake appears late, so a simple thumbnail review would probably miss it. For this automotive example, the main judgment is still whether the viewer can copy the motion.</x:v>
      </x:c>
      <x:c r="AA592" t="str">
        <x:v>Use sequential context only for continuity, not for adding previous/next steps into the frame.</x:v>
      </x:c>
      <x:c r="AB592" t="str">
        <x:v>High</x:v>
      </x:c>
      <x:c r="AC592" t="str"/>
      <x:c r="AD592" t="str">
        <x:v>Synthetic benchmark entry; generated clip URL should be filled after API run.</x:v>
      </x:c>
    </x:row>
    <x:row r="593">
      <x:c r="A593" t="str">
        <x:v>S099-Kling-MET</x:v>
      </x:c>
      <x:c r="B593" t="str">
        <x:v>S099</x:v>
      </x:c>
      <x:c r="C593" t="str">
        <x:v>Automotive</x:v>
      </x:c>
      <x:c r="D593" t="str">
        <x:v>cleanup</x:v>
      </x:c>
      <x:c r="E593" t="str">
        <x:v>wiping</x:v>
      </x:c>
      <x:c r="F593" t="n">
        <x:v>2</x:v>
      </x:c>
      <x:c r="G593" t="str">
        <x:v>wipe spilled oil from the filler neck</x:v>
      </x:c>
      <x:c r="H593" t="str">
        <x:v>shop towel</x:v>
      </x:c>
      <x:c r="I593" t="str">
        <x:v>oil filler neck</x:v>
      </x:c>
      <x:c r="J593" t="str">
        <x:v>Kling v3.0 (Replicate)</x:v>
      </x:c>
      <x:c r="K593" t="str">
        <x:v>Metadata-Enriched</x:v>
      </x:c>
      <x:c r="L593" t="str">
        <x:v>Uses clipDescription, clipSummary, toolNames, suppliesNames, processTechniques, safetyEquipment.</x:v>
      </x:c>
      <x:c r="M593" t="str">
        <x:v>Close-up realistic instructional DIY video: wipe spilled oil from the filler neck. Show shop towel working on oil filler neck. Hands visible, stable camera, no text overlay, neutral shop lighting. clipDescription='wipe spilled oil from the filler neck'. clipSummary='one practical repair step'. toolNames='shop towel'. suppliesNames='oil filler neck'. processTechnique='wiping'. Safety cue: use normal homeowner precautions and avoid risky shortcuts.</x:v>
      </x:c>
      <x:c r="N593" s="14" t="n">
        <x:v>10</x:v>
      </x:c>
      <x:c r="O593" s="14" t="n">
        <x:v>100993</x:v>
      </x:c>
      <x:c r="P593" t="str">
        <x:v>R-E</x:v>
      </x:c>
      <x:c r="Q593" s="12" t="n">
        <x:v>4.24</x:v>
      </x:c>
      <x:c r="R593" s="12" t="n">
        <x:v>3.68</x:v>
      </x:c>
      <x:c r="S593" s="12" t="n">
        <x:v>3.38</x:v>
      </x:c>
      <x:c r="T593" s="12" t="n">
        <x:v>3.77</x:v>
      </x:c>
      <x:c r="U593" s="12" t="n">
        <x:v>3.89</x:v>
      </x:c>
      <x:c r="V593" s="12" t="n">
        <x:v>3.77</x:v>
      </x:c>
      <x:c r="W593" s="12" t="n">
        <x:f>ROUND((Q593*0.24)+(R593*0.22)+(S593*0.16)+(T593*0.18)+(U593*0.10)+(V593*0.10),2)</x:f>
        <x:v>3.81</x:v>
      </x:c>
      <x:c r="X593" t="str">
        <x:f>IF(W593&gt;=3.55,"Pass","Fail")</x:f>
        <x:v>Pass</x:v>
      </x:c>
      <x:c r="Y593" t="str">
        <x:v>none</x:v>
      </x:c>
      <x:c r="Z593" t="str">
        <x:v>Human check: Looks plausible at first glance. On a second pass, the oil filler neck shifts slightly and the model seems to infer the outcome rather than show the full wiping. The prompt should prioritize hand path over cinematic lighting. For this automotive example, the main judgment is still whether the viewer can copy the motion.</x:v>
      </x:c>
      <x:c r="AA593" t="str">
        <x:v>Ask for a static close-up and require the shop towel to touch the oil filler neck before any motion starts.</x:v>
      </x:c>
      <x:c r="AB593" t="str">
        <x:v>High</x:v>
      </x:c>
      <x:c r="AC593" t="str"/>
      <x:c r="AD593" t="str">
        <x:v>Planning dataset only; scores are plausible placeholders, not vendor claims.</x:v>
      </x:c>
    </x:row>
    <x:row r="594">
      <x:c r="A594" t="str">
        <x:v>S099-Pika-MET</x:v>
      </x:c>
      <x:c r="B594" t="str">
        <x:v>S099</x:v>
      </x:c>
      <x:c r="C594" t="str">
        <x:v>Automotive</x:v>
      </x:c>
      <x:c r="D594" t="str">
        <x:v>cleanup</x:v>
      </x:c>
      <x:c r="E594" t="str">
        <x:v>wiping</x:v>
      </x:c>
      <x:c r="F594" t="n">
        <x:v>2</x:v>
      </x:c>
      <x:c r="G594" t="str">
        <x:v>wipe spilled oil from the filler neck</x:v>
      </x:c>
      <x:c r="H594" t="str">
        <x:v>shop towel</x:v>
      </x:c>
      <x:c r="I594" t="str">
        <x:v>oil filler neck</x:v>
      </x:c>
      <x:c r="J594" t="str">
        <x:v>Pika 2.2</x:v>
      </x:c>
      <x:c r="K594" t="str">
        <x:v>Metadata-Enriched</x:v>
      </x:c>
      <x:c r="L594" t="str">
        <x:v>Uses clipDescription, clipSummary, toolNames, suppliesNames, processTechniques, safetyEquipment.</x:v>
      </x:c>
      <x:c r="M594" t="str">
        <x:v>Close-up realistic instructional DIY video: wipe spilled oil from the filler neck. Show shop towel working on oil filler neck. Hands visible, stable camera, no text overlay, neutral shop lighting. clipDescription='wipe spilled oil from the filler neck'. clipSummary='one practical repair step'. toolNames='shop towel'. suppliesNames='oil filler neck'. processTechnique='wiping'. Safety cue: use normal homeowner precautions and avoid risky shortcuts.</x:v>
      </x:c>
      <x:c r="N594" s="14" t="n">
        <x:v>5</x:v>
      </x:c>
      <x:c r="O594" s="14" t="n">
        <x:v>100994</x:v>
      </x:c>
      <x:c r="P594" t="str">
        <x:v>R-C</x:v>
      </x:c>
      <x:c r="Q594" s="12" t="n">
        <x:v>3.37</x:v>
      </x:c>
      <x:c r="R594" s="12" t="n">
        <x:v>3.54</x:v>
      </x:c>
      <x:c r="S594" s="12" t="n">
        <x:v>3.92</x:v>
      </x:c>
      <x:c r="T594" s="12" t="n">
        <x:v>2.96</x:v>
      </x:c>
      <x:c r="U594" s="12" t="n">
        <x:v>3.12</x:v>
      </x:c>
      <x:c r="V594" s="12" t="n">
        <x:v>3.53</x:v>
      </x:c>
      <x:c r="W594" s="12" t="n">
        <x:f>ROUND((Q594*0.24)+(R594*0.22)+(S594*0.16)+(T594*0.18)+(U594*0.10)+(V594*0.10),2)</x:f>
        <x:v>3.41</x:v>
      </x:c>
      <x:c r="X594" t="str">
        <x:f>IF(W594&gt;=3.55,"Pass","Fail")</x:f>
        <x:v>Fail</x:v>
      </x:c>
      <x:c r="Y594" t="str">
        <x:v>action starts too late</x:v>
      </x:c>
      <x:c r="Z594" t="str">
        <x:v>QA note: A reviewer would likely reject this. It may be visually attractive, but the tool/object relationship breaks during the important moment. The prompt should prioritize hand path over cinematic lighting. For this automotive example, the main judgment is still whether the viewer can copy the motion.</x:v>
      </x:c>
      <x:c r="AA594" t="str">
        <x:v>Move safety language earlier in the prompt and remove cinematic camera instructions.</x:v>
      </x:c>
      <x:c r="AB594" t="str">
        <x:v>High</x:v>
      </x:c>
      <x:c r="AC594" t="str"/>
      <x:c r="AD594" t="str">
        <x:v>Synthetic benchmark entry; generated clip URL should be filled after API run.</x:v>
      </x:c>
    </x:row>
    <x:row r="595">
      <x:c r="A595" t="str">
        <x:v>S099-Vidu-MET</x:v>
      </x:c>
      <x:c r="B595" t="str">
        <x:v>S099</x:v>
      </x:c>
      <x:c r="C595" t="str">
        <x:v>Automotive</x:v>
      </x:c>
      <x:c r="D595" t="str">
        <x:v>cleanup</x:v>
      </x:c>
      <x:c r="E595" t="str">
        <x:v>wiping</x:v>
      </x:c>
      <x:c r="F595" t="n">
        <x:v>2</x:v>
      </x:c>
      <x:c r="G595" t="str">
        <x:v>wipe spilled oil from the filler neck</x:v>
      </x:c>
      <x:c r="H595" t="str">
        <x:v>shop towel</x:v>
      </x:c>
      <x:c r="I595" t="str">
        <x:v>oil filler neck</x:v>
      </x:c>
      <x:c r="J595" t="str">
        <x:v>Vidu 2.0</x:v>
      </x:c>
      <x:c r="K595" t="str">
        <x:v>Metadata-Enriched</x:v>
      </x:c>
      <x:c r="L595" t="str">
        <x:v>Uses clipDescription, clipSummary, toolNames, suppliesNames, processTechniques, safetyEquipment.</x:v>
      </x:c>
      <x:c r="M595" t="str">
        <x:v>Close-up realistic instructional DIY video: wipe spilled oil from the filler neck. Show shop towel working on oil filler neck. Hands visible, stable camera, no text overlay, neutral shop lighting. clipDescription='wipe spilled oil from the filler neck'. clipSummary='one practical repair step'. toolNames='shop towel'. suppliesNames='oil filler neck'. processTechnique='wiping'. Safety cue: use normal homeowner precautions and avoid risky shortcuts.</x:v>
      </x:c>
      <x:c r="N595" s="14" t="n">
        <x:v>5</x:v>
      </x:c>
      <x:c r="O595" s="14" t="n">
        <x:v>100995</x:v>
      </x:c>
      <x:c r="P595" t="str">
        <x:v>R-B</x:v>
      </x:c>
      <x:c r="Q595" s="12" t="n">
        <x:v>3.57</x:v>
      </x:c>
      <x:c r="R595" s="12" t="n">
        <x:v>3.08</x:v>
      </x:c>
      <x:c r="S595" s="12" t="n">
        <x:v>3.09</x:v>
      </x:c>
      <x:c r="T595" s="12" t="n">
        <x:v>3.77</x:v>
      </x:c>
      <x:c r="U595" s="12" t="n">
        <x:v>3.45</x:v>
      </x:c>
      <x:c r="V595" s="12" t="n">
        <x:v>3.03</x:v>
      </x:c>
      <x:c r="W595" s="12" t="n">
        <x:f>ROUND((Q595*0.24)+(R595*0.22)+(S595*0.16)+(T595*0.18)+(U595*0.10)+(V595*0.10),2)</x:f>
        <x:v>3.36</x:v>
      </x:c>
      <x:c r="X595" t="str">
        <x:f>IF(W595&gt;=3.55,"Pass","Fail")</x:f>
        <x:v>Fail</x:v>
      </x:c>
      <x:c r="Y595" t="str">
        <x:v>object morphs</x:v>
      </x:c>
      <x:c r="Z595" t="str">
        <x:v>Clip review: The clip looks like generic DIY stock footage rather than this specific step. The main problem is object morphs, and the end state is not verifiable. The next prompt should slow the final second instead of adding more scene detail. For this automotive example, the main judgment is still whether the viewer can copy the motion.</x:v>
      </x:c>
      <x:c r="AA595" t="str">
        <x:v>Add a one-sentence end-state requirement: viewer must see the completed wiping result for one full second.</x:v>
      </x:c>
      <x:c r="AB595" t="str">
        <x:v>Medium</x:v>
      </x:c>
      <x:c r="AC595" t="str"/>
      <x:c r="AD595" t="str">
        <x:v>Synthetic benchmark entry; generated clip URL should be filled after API run.</x:v>
      </x:c>
    </x:row>
    <x:row r="596">
      <x:c r="A596" t="str">
        <x:v>S100-Veo-REF</x:v>
      </x:c>
      <x:c r="B596" t="str">
        <x:v>S100</x:v>
      </x:c>
      <x:c r="C596" t="str">
        <x:v>Automotive</x:v>
      </x:c>
      <x:c r="D596" t="str">
        <x:v>maintenance</x:v>
      </x:c>
      <x:c r="E596" t="str">
        <x:v>tightening</x:v>
      </x:c>
      <x:c r="F596" t="n">
        <x:v>4</x:v>
      </x:c>
      <x:c r="G596" t="str">
        <x:v>tighten an oil drain plug with a box-end wrench</x:v>
      </x:c>
      <x:c r="H596" t="str">
        <x:v>box-end wrench</x:v>
      </x:c>
      <x:c r="I596" t="str">
        <x:v>oil drain plug</x:v>
      </x:c>
      <x:c r="J596" t="str">
        <x:v>Veo 3.1</x:v>
      </x:c>
      <x:c r="K596" t="str">
        <x:v>Reference-Guided</x:v>
      </x:c>
      <x:c r="L596" t="str">
        <x:v>Adds reference-tool/image cue and brand-agnostic visual constraints.</x:v>
      </x:c>
      <x:c r="M596" t="str">
        <x:v>Close-up realistic instructional DIY video: tighten an oil drain plug with a box-end wrench. Show box-end wrench working on oil drain plug. Hands visible, stable camera, no text overlay, neutral shop lighting. Use a generic, brand-agnostic visual reference for the box-end wrench; preserve the tool shape and scale; the box-end wrench must remain in contact with oil drain plug during the key motion.</x:v>
      </x:c>
      <x:c r="N596" s="14" t="n">
        <x:v>8</x:v>
      </x:c>
      <x:c r="O596" s="14" t="n">
        <x:v>101000</x:v>
      </x:c>
      <x:c r="P596" t="str">
        <x:v>R-D</x:v>
      </x:c>
      <x:c r="Q596" s="12" t="n">
        <x:v>4.21</x:v>
      </x:c>
      <x:c r="R596" s="12" t="n">
        <x:v>4.13</x:v>
      </x:c>
      <x:c r="S596" s="12" t="n">
        <x:v>4.04</x:v>
      </x:c>
      <x:c r="T596" s="12" t="n">
        <x:v>4.21</x:v>
      </x:c>
      <x:c r="U596" s="12" t="n">
        <x:v>3.74</x:v>
      </x:c>
      <x:c r="V596" s="12" t="n">
        <x:v>4.05</x:v>
      </x:c>
      <x:c r="W596" s="12" t="n">
        <x:f>ROUND((Q596*0.24)+(R596*0.22)+(S596*0.16)+(T596*0.18)+(U596*0.10)+(V596*0.10),2)</x:f>
        <x:v>4.1</x:v>
      </x:c>
      <x:c r="X596" t="str">
        <x:f>IF(W596&gt;=3.55,"Pass","Fail")</x:f>
        <x:v>Pass</x:v>
      </x:c>
      <x:c r="Y596" t="str">
        <x:v>contact point hidden</x:v>
      </x:c>
      <x:c r="Z596" t="str">
        <x:v>QA note: The intention is clear, especially if you already know the step. A novice might miss the key detail because this issue appears right where the action should be most explicit: contact point hidden. I marked it down for the key moment rather than the opening setup. For this automotive example, the main judgment is still whether the viewer can copy the motion.</x:v>
      </x:c>
      <x:c r="AA596" t="str">
        <x:v>Add a one-sentence end-state requirement: viewer must see the completed tightening result for one full second.</x:v>
      </x:c>
      <x:c r="AB596" t="str">
        <x:v>Medium-High</x:v>
      </x:c>
      <x:c r="AC596" t="str"/>
      <x:c r="AD596" t="str">
        <x:v>Synthetic benchmark entry; generated clip URL should be filled after API run.</x:v>
      </x:c>
    </x:row>
    <x:row r="597">
      <x:c r="A597" t="str">
        <x:v>S100-Sora-REF</x:v>
      </x:c>
      <x:c r="B597" t="str">
        <x:v>S100</x:v>
      </x:c>
      <x:c r="C597" t="str">
        <x:v>Automotive</x:v>
      </x:c>
      <x:c r="D597" t="str">
        <x:v>maintenance</x:v>
      </x:c>
      <x:c r="E597" t="str">
        <x:v>tightening</x:v>
      </x:c>
      <x:c r="F597" t="n">
        <x:v>4</x:v>
      </x:c>
      <x:c r="G597" t="str">
        <x:v>tighten an oil drain plug with a box-end wrench</x:v>
      </x:c>
      <x:c r="H597" t="str">
        <x:v>box-end wrench</x:v>
      </x:c>
      <x:c r="I597" t="str">
        <x:v>oil drain plug</x:v>
      </x:c>
      <x:c r="J597" t="str">
        <x:v>Sora 2 Pro</x:v>
      </x:c>
      <x:c r="K597" t="str">
        <x:v>Reference-Guided</x:v>
      </x:c>
      <x:c r="L597" t="str">
        <x:v>Adds reference-tool/image cue and brand-agnostic visual constraints.</x:v>
      </x:c>
      <x:c r="M597" t="str">
        <x:v>Close-up realistic instructional DIY video: tighten an oil drain plug with a box-end wrench. Show box-end wrench working on oil drain plug. Hands visible, stable camera, no text overlay, neutral shop lighting. Use a generic, brand-agnostic visual reference for the box-end wrench; preserve the tool shape and scale; the box-end wrench must remain in contact with oil drain plug during the key motion.</x:v>
      </x:c>
      <x:c r="N597" s="14" t="n">
        <x:v>8</x:v>
      </x:c>
      <x:c r="O597" s="14" t="n">
        <x:v>101001</x:v>
      </x:c>
      <x:c r="P597" t="str">
        <x:v>R-D</x:v>
      </x:c>
      <x:c r="Q597" s="12" t="n">
        <x:v>3.86</x:v>
      </x:c>
      <x:c r="R597" s="12" t="n">
        <x:v>3.74</x:v>
      </x:c>
      <x:c r="S597" s="12" t="n">
        <x:v>3.84</x:v>
      </x:c>
      <x:c r="T597" s="12" t="n">
        <x:v>4.27</x:v>
      </x:c>
      <x:c r="U597" s="12" t="n">
        <x:v>3.82</x:v>
      </x:c>
      <x:c r="V597" s="12" t="n">
        <x:v>4.12</x:v>
      </x:c>
      <x:c r="W597" s="12" t="n">
        <x:f>ROUND((Q597*0.24)+(R597*0.22)+(S597*0.16)+(T597*0.18)+(U597*0.10)+(V597*0.10),2)</x:f>
        <x:v>3.93</x:v>
      </x:c>
      <x:c r="X597" t="str">
        <x:f>IF(W597&gt;=3.55,"Pass","Fail")</x:f>
        <x:v>Pass</x:v>
      </x:c>
      <x:c r="Y597" t="str">
        <x:v>endpoint not visible</x:v>
      </x:c>
      <x:c r="Z597" t="str">
        <x:v>Human check: The clip has the right ingredients but not quite the right mechanics. It needs a tighter prompt about grip, contact, and the end position. The clip needs a verifier pass before it can enter the training pool. For this automotive example, the main judgment is still whether the viewer can copy the motion.</x:v>
      </x:c>
      <x:c r="AA597" t="str">
        <x:v>Break the action into start, contact, movement, and finish; ban extra tools and hand morphing.</x:v>
      </x:c>
      <x:c r="AB597" t="str">
        <x:v>Medium-High</x:v>
      </x:c>
      <x:c r="AC597" t="str"/>
      <x:c r="AD597" t="str">
        <x:v>Simulated pilot row for planning; replace with blinded ratings after generating actual clips.</x:v>
      </x:c>
    </x:row>
    <x:row r="598">
      <x:c r="A598" t="str">
        <x:v>S100-Runway-REF</x:v>
      </x:c>
      <x:c r="B598" t="str">
        <x:v>S100</x:v>
      </x:c>
      <x:c r="C598" t="str">
        <x:v>Automotive</x:v>
      </x:c>
      <x:c r="D598" t="str">
        <x:v>maintenance</x:v>
      </x:c>
      <x:c r="E598" t="str">
        <x:v>tightening</x:v>
      </x:c>
      <x:c r="F598" t="n">
        <x:v>4</x:v>
      </x:c>
      <x:c r="G598" t="str">
        <x:v>tighten an oil drain plug with a box-end wrench</x:v>
      </x:c>
      <x:c r="H598" t="str">
        <x:v>box-end wrench</x:v>
      </x:c>
      <x:c r="I598" t="str">
        <x:v>oil drain plug</x:v>
      </x:c>
      <x:c r="J598" t="str">
        <x:v>Runway Gen-4.5</x:v>
      </x:c>
      <x:c r="K598" t="str">
        <x:v>Reference-Guided</x:v>
      </x:c>
      <x:c r="L598" t="str">
        <x:v>Adds reference-tool/image cue and brand-agnostic visual constraints.</x:v>
      </x:c>
      <x:c r="M598" t="str">
        <x:v>Close-up realistic instructional DIY video: tighten an oil drain plug with a box-end wrench. Show box-end wrench working on oil drain plug. Hands visible, stable camera, no text overlay, neutral shop lighting. Use a generic, brand-agnostic visual reference for the box-end wrench; preserve the tool shape and scale; the box-end wrench must remain in contact with oil drain plug during the key motion.</x:v>
      </x:c>
      <x:c r="N598" s="14" t="n">
        <x:v>5</x:v>
      </x:c>
      <x:c r="O598" s="14" t="n">
        <x:v>101002</x:v>
      </x:c>
      <x:c r="P598" t="str">
        <x:v>R-C</x:v>
      </x:c>
      <x:c r="Q598" s="12" t="n">
        <x:v>4.36</x:v>
      </x:c>
      <x:c r="R598" s="12" t="n">
        <x:v>4.22</x:v>
      </x:c>
      <x:c r="S598" s="12" t="n">
        <x:v>4.31</x:v>
      </x:c>
      <x:c r="T598" s="12" t="n">
        <x:v>4.14</x:v>
      </x:c>
      <x:c r="U598" s="12" t="n">
        <x:v>3.71</x:v>
      </x:c>
      <x:c r="V598" s="12" t="n">
        <x:v>3.43</x:v>
      </x:c>
      <x:c r="W598" s="12" t="n">
        <x:f>ROUND((Q598*0.24)+(R598*0.22)+(S598*0.16)+(T598*0.18)+(U598*0.10)+(V598*0.10),2)</x:f>
        <x:v>4.12</x:v>
      </x:c>
      <x:c r="X598" t="str">
        <x:f>IF(W598&gt;=3.55,"Pass","Fail")</x:f>
        <x:v>Pass</x:v>
      </x:c>
      <x:c r="Y598" t="str">
        <x:v>minor continuity jump</x:v>
      </x:c>
      <x:c r="Z598" t="str">
        <x:v>QA note: I would keep this as a rough candidate. It communicates the step, although the failure mode makes it weaker than a real sourced clip: minor continuity jump. The clip needs a verifier pass before it can enter the training pool. For this automotive example, the main judgment is still whether the viewer can copy the motion.</x:v>
      </x:c>
      <x:c r="AA598" t="str">
        <x:v>Specify the exact contact point and do not allow the hand to cover it.</x:v>
      </x:c>
      <x:c r="AB598" t="str">
        <x:v>Medium-High</x:v>
      </x:c>
      <x:c r="AC598" t="str"/>
      <x:c r="AD598" t="str">
        <x:v>Simulated pilot row for planning; replace with blinded ratings after generating actual clips.</x:v>
      </x:c>
    </x:row>
    <x:row r="599">
      <x:c r="A599" t="str">
        <x:v>S100-Kling-REF</x:v>
      </x:c>
      <x:c r="B599" t="str">
        <x:v>S100</x:v>
      </x:c>
      <x:c r="C599" t="str">
        <x:v>Automotive</x:v>
      </x:c>
      <x:c r="D599" t="str">
        <x:v>maintenance</x:v>
      </x:c>
      <x:c r="E599" t="str">
        <x:v>tightening</x:v>
      </x:c>
      <x:c r="F599" t="n">
        <x:v>4</x:v>
      </x:c>
      <x:c r="G599" t="str">
        <x:v>tighten an oil drain plug with a box-end wrench</x:v>
      </x:c>
      <x:c r="H599" t="str">
        <x:v>box-end wrench</x:v>
      </x:c>
      <x:c r="I599" t="str">
        <x:v>oil drain plug</x:v>
      </x:c>
      <x:c r="J599" t="str">
        <x:v>Kling v3.0 (Replicate)</x:v>
      </x:c>
      <x:c r="K599" t="str">
        <x:v>Reference-Guided</x:v>
      </x:c>
      <x:c r="L599" t="str">
        <x:v>Adds reference-tool/image cue and brand-agnostic visual constraints.</x:v>
      </x:c>
      <x:c r="M599" t="str">
        <x:v>Close-up realistic instructional DIY video: tighten an oil drain plug with a box-end wrench. Show box-end wrench working on oil drain plug. Hands visible, stable camera, no text overlay, neutral shop lighting. Use a generic, brand-agnostic visual reference for the box-end wrench; preserve the tool shape and scale; the box-end wrench must remain in contact with oil drain plug during the key motion.</x:v>
      </x:c>
      <x:c r="N599" s="14" t="n">
        <x:v>10</x:v>
      </x:c>
      <x:c r="O599" s="14" t="n">
        <x:v>101003</x:v>
      </x:c>
      <x:c r="P599" t="str">
        <x:v>R-B</x:v>
      </x:c>
      <x:c r="Q599" s="12" t="n">
        <x:v>3.99</x:v>
      </x:c>
      <x:c r="R599" s="12" t="n">
        <x:v>3.97</x:v>
      </x:c>
      <x:c r="S599" s="12" t="n">
        <x:v>3.58</x:v>
      </x:c>
      <x:c r="T599" s="12" t="n">
        <x:v>3.65</x:v>
      </x:c>
      <x:c r="U599" s="12" t="n">
        <x:v>2.98</x:v>
      </x:c>
      <x:c r="V599" s="12" t="n">
        <x:v>3.51</x:v>
      </x:c>
      <x:c r="W599" s="12" t="n">
        <x:f>ROUND((Q599*0.24)+(R599*0.22)+(S599*0.16)+(T599*0.18)+(U599*0.10)+(V599*0.10),2)</x:f>
        <x:v>3.71</x:v>
      </x:c>
      <x:c r="X599" t="str">
        <x:f>IF(W599&gt;=3.55,"Pass","Fail")</x:f>
        <x:v>Pass</x:v>
      </x:c>
      <x:c r="Y599" t="str">
        <x:v>material looks wrong</x:v>
      </x:c>
      <x:c r="Z599" t="str">
        <x:v>Rater note: The clip has the right ingredients but not quite the right mechanics. It needs a tighter prompt about grip, contact, and the end position. This would be safer as a reference-aided run than a text-only run. For this automotive example, the main judgment is still whether the viewer can copy the motion.</x:v>
      </x:c>
      <x:c r="AA599" t="str">
        <x:v>Specify the exact contact point and do not allow the hand to cover it.</x:v>
      </x:c>
      <x:c r="AB599" t="str">
        <x:v>High</x:v>
      </x:c>
      <x:c r="AC599" t="str"/>
      <x:c r="AD599" t="str">
        <x:v>Simulated pilot row for planning; replace with blinded ratings after generating actual clips.</x:v>
      </x:c>
    </x:row>
    <x:row r="600">
      <x:c r="A600" t="str">
        <x:v>S100-Pika-REF</x:v>
      </x:c>
      <x:c r="B600" t="str">
        <x:v>S100</x:v>
      </x:c>
      <x:c r="C600" t="str">
        <x:v>Automotive</x:v>
      </x:c>
      <x:c r="D600" t="str">
        <x:v>maintenance</x:v>
      </x:c>
      <x:c r="E600" t="str">
        <x:v>tightening</x:v>
      </x:c>
      <x:c r="F600" t="n">
        <x:v>4</x:v>
      </x:c>
      <x:c r="G600" t="str">
        <x:v>tighten an oil drain plug with a box-end wrench</x:v>
      </x:c>
      <x:c r="H600" t="str">
        <x:v>box-end wrench</x:v>
      </x:c>
      <x:c r="I600" t="str">
        <x:v>oil drain plug</x:v>
      </x:c>
      <x:c r="J600" t="str">
        <x:v>Pika 2.2</x:v>
      </x:c>
      <x:c r="K600" t="str">
        <x:v>Reference-Guided</x:v>
      </x:c>
      <x:c r="L600" t="str">
        <x:v>Adds reference-tool/image cue and brand-agnostic visual constraints.</x:v>
      </x:c>
      <x:c r="M600" t="str">
        <x:v>Close-up realistic instructional DIY video: tighten an oil drain plug with a box-end wrench. Show box-end wrench working on oil drain plug. Hands visible, stable camera, no text overlay, neutral shop lighting. Use a generic, brand-agnostic visual reference for the box-end wrench; preserve the tool shape and scale; the box-end wrench must remain in contact with oil drain plug during the key motion.</x:v>
      </x:c>
      <x:c r="N600" s="14" t="n">
        <x:v>5</x:v>
      </x:c>
      <x:c r="O600" s="14" t="n">
        <x:v>101004</x:v>
      </x:c>
      <x:c r="P600" t="str">
        <x:v>R-C</x:v>
      </x:c>
      <x:c r="Q600" s="12" t="n">
        <x:v>2.81</x:v>
      </x:c>
      <x:c r="R600" s="12" t="n">
        <x:v>3.16</x:v>
      </x:c>
      <x:c r="S600" s="12" t="n">
        <x:v>3.56</x:v>
      </x:c>
      <x:c r="T600" s="12" t="n">
        <x:v>3.5</x:v>
      </x:c>
      <x:c r="U600" s="12" t="n">
        <x:v>2.56</x:v>
      </x:c>
      <x:c r="V600" s="12" t="n">
        <x:v>3.2</x:v>
      </x:c>
      <x:c r="W600" s="12" t="n">
        <x:f>ROUND((Q600*0.24)+(R600*0.22)+(S600*0.16)+(T600*0.18)+(U600*0.10)+(V600*0.10),2)</x:f>
        <x:v>3.15</x:v>
      </x:c>
      <x:c r="X600" t="str">
        <x:f>IF(W600&gt;=3.55,"Pass","Fail")</x:f>
        <x:v>Fail</x:v>
      </x:c>
      <x:c r="Y600" t="str">
        <x:v>sequence reversed</x:v>
      </x:c>
      <x:c r="Z600" t="str">
        <x:v>QA note: The generated clip loses the procedure. I would re-run with a reference frame and a stricter Action-Object-Tool prompt. The mistake appears late, so a simple thumbnail review would probably miss it. For this automotive example, the main judgment is still whether the viewer can copy the motion.</x:v>
      </x:c>
      <x:c r="AA600" t="str">
        <x:v>Use a reference image for the box-end wrench and specify its grip/orientation in plain language.</x:v>
      </x:c>
      <x:c r="AB600" t="str">
        <x:v>Medium</x:v>
      </x:c>
      <x:c r="AC600" t="str"/>
      <x:c r="AD600" t="str">
        <x:v>Synthetic benchmark entry; generated clip URL should be filled after API run.</x:v>
      </x:c>
    </x:row>
    <x:row r="601">
      <x:c r="A601" t="str">
        <x:v>S100-Vidu-REF</x:v>
      </x:c>
      <x:c r="B601" t="str">
        <x:v>S100</x:v>
      </x:c>
      <x:c r="C601" t="str">
        <x:v>Automotive</x:v>
      </x:c>
      <x:c r="D601" t="str">
        <x:v>maintenance</x:v>
      </x:c>
      <x:c r="E601" t="str">
        <x:v>tightening</x:v>
      </x:c>
      <x:c r="F601" t="n">
        <x:v>4</x:v>
      </x:c>
      <x:c r="G601" t="str">
        <x:v>tighten an oil drain plug with a box-end wrench</x:v>
      </x:c>
      <x:c r="H601" t="str">
        <x:v>box-end wrench</x:v>
      </x:c>
      <x:c r="I601" t="str">
        <x:v>oil drain plug</x:v>
      </x:c>
      <x:c r="J601" t="str">
        <x:v>Vidu 2.0</x:v>
      </x:c>
      <x:c r="K601" t="str">
        <x:v>Reference-Guided</x:v>
      </x:c>
      <x:c r="L601" t="str">
        <x:v>Adds reference-tool/image cue and brand-agnostic visual constraints.</x:v>
      </x:c>
      <x:c r="M601" t="str">
        <x:v>Close-up realistic instructional DIY video: tighten an oil drain plug with a box-end wrench. Show box-end wrench working on oil drain plug. Hands visible, stable camera, no text overlay, neutral shop lighting. Use a generic, brand-agnostic visual reference for the box-end wrench; preserve the tool shape and scale; the box-end wrench must remain in contact with oil drain plug during the key motion.</x:v>
      </x:c>
      <x:c r="N601" s="14" t="n">
        <x:v>5</x:v>
      </x:c>
      <x:c r="O601" s="14" t="n">
        <x:v>101005</x:v>
      </x:c>
      <x:c r="P601" t="str">
        <x:v>R-A</x:v>
      </x:c>
      <x:c r="Q601" s="12" t="n">
        <x:v>3.92</x:v>
      </x:c>
      <x:c r="R601" s="12" t="n">
        <x:v>2.96</x:v>
      </x:c>
      <x:c r="S601" s="12" t="n">
        <x:v>2.64</x:v>
      </x:c>
      <x:c r="T601" s="12" t="n">
        <x:v>3.34</x:v>
      </x:c>
      <x:c r="U601" s="12" t="n">
        <x:v>2.47</x:v>
      </x:c>
      <x:c r="V601" s="12" t="n">
        <x:v>3.75</x:v>
      </x:c>
      <x:c r="W601" s="12" t="n">
        <x:f>ROUND((Q601*0.24)+(R601*0.22)+(S601*0.16)+(T601*0.18)+(U601*0.10)+(V601*0.10),2)</x:f>
        <x:v>3.24</x:v>
      </x:c>
      <x:c r="X601" t="str">
        <x:f>IF(W601&gt;=3.55,"Pass","Fail")</x:f>
        <x:v>Fail</x:v>
      </x:c>
      <x:c r="Y601" t="str">
        <x:v>extra phantom tool</x:v>
      </x:c>
      <x:c r="Z601" t="str">
        <x:v>QA note: Too much is being implied. The box-end wrench and oil drain plug are in the scene, but the motion does not demonstrate the actual repair step. I would keep the same camera angle but ask for a tighter view of the contact point. For this automotive example, the main judgment is still whether the viewer can copy the motion.</x:v>
      </x:c>
      <x:c r="AA601" t="str">
        <x:v>Use sequential context only for continuity, not for adding previous/next steps into the frame.</x:v>
      </x:c>
      <x:c r="AB601" t="str">
        <x:v>Medium</x:v>
      </x:c>
      <x:c r="AC601" t="str"/>
      <x:c r="AD601" t="str">
        <x:v>Planning dataset only; scores are plausible placeholders, not vendor claims.</x:v>
      </x:c>
    </x:row>
  </x:sheetData>
  <x:conditionalFormatting sqref="W2:W601">
    <x:cfRule type="colorScale" priority="1">
      <x:colorScale>
        <x:cfvo type="min"/>
        <x:cfvo type="percentile" val="50"/>
        <x:cfvo type="max"/>
        <x:color rgb="F4CCCC"/>
        <x:color rgb="FFF2CC"/>
        <x:color rgb="D9EAD3"/>
      </x:colorScale>
    </x:cfRule>
  </x:conditionalFormatting>
  <x:conditionalFormatting sqref="X2:X601">
    <x:cfRule type="expression" dxfId="0" priority="2">
      <x:formula>X2="Fail"</x:formula>
    </x:cfRule>
  </x:conditionalFormatting>
  <x:dataValidations count="2">
    <x:dataValidation type="list" sqref="X2:X601">
      <x:formula1>"Pass,Fail"</x:formula1>
    </x:dataValidation>
    <x:dataValidation type="list" sqref="AB2:AB601">
      <x:formula1>"High,Medium-High,Medium,Low"</x:formula1>
    </x:dataValidation>
  </x:dataValidations>
  <x:pageMargins left="0.7" right="0.7" top="0.75" bottom="0.75" header="0.3" footer="0.3"/>
  <x:tableParts count="1">
    <x:tablePart xmlns:r="http://schemas.openxmlformats.org/officeDocument/2006/relationships" r:id="Rbc24ee68e7e94ae5"/>
  </x:tableParts>
</x:worksheet>
</file>

<file path=xl/worksheets/sheet2.xml><?xml version="1.0" encoding="utf-8"?>
<x:worksheet xmlns:x="http://schemas.openxmlformats.org/spreadsheetml/2006/main">
  <x:sheetFormatPr defaultRowHeight="15"/>
  <x:cols>
    <x:col min="1" max="1" width="28" hidden="0" customWidth="1"/>
    <x:col min="2" max="2" width="14" hidden="0" customWidth="1"/>
    <x:col min="3" max="3" width="16" hidden="0" customWidth="1"/>
    <x:col min="4" max="4" width="16" hidden="0" customWidth="1"/>
    <x:col min="5" max="5" width="58" hidden="0" customWidth="1"/>
    <x:col min="6" max="6" width="16" hidden="0" customWidth="1"/>
    <x:col min="8" max="8" width="28" hidden="0" customWidth="1"/>
    <x:col min="9" max="9" width="12" hidden="0" customWidth="1"/>
    <x:col min="10" max="10" width="58" hidden="0" customWidth="1"/>
  </x:cols>
  <x:sheetData>
    <x:row r="1">
      <x:c r="A1" s="24" t="str">
        <x:v>Project 4: Generative Video Evaluation - Revised Synthetic Pilot</x:v>
      </x:c>
      <x:c r="B1" s="25"/>
      <x:c r="C1" s="25"/>
      <x:c r="D1" s="25"/>
      <x:c r="E1" s="25"/>
      <x:c r="F1" s="25"/>
      <x:c r="G1" s="25"/>
      <x:c r="H1" s="25"/>
      <x:c r="I1" s="25"/>
      <x:c r="J1" s="25"/>
    </x:row>
    <x:row r="3">
      <x:c r="A3" s="20" t="str">
        <x:v>Scope</x:v>
      </x:c>
      <x:c r="H3" s="6" t="str">
        <x:v>Top Failure Modes</x:v>
      </x:c>
      <x:c r="I3" s="6" t="str">
        <x:v>Count</x:v>
      </x:c>
      <x:c r="J3" s="6" t="str">
        <x:v>Example Fix</x:v>
      </x:c>
    </x:row>
    <x:row r="4">
      <x:c r="A4" t="str">
        <x:v>Evaluation rows</x:v>
      </x:c>
      <x:c r="B4" t="n">
        <x:v>600</x:v>
      </x:c>
      <x:c r="H4" t="str">
        <x:v>contact point hidden</x:v>
      </x:c>
      <x:c r="I4" t="n">
        <x:f>COUNTIF(Clip_Evaluations!$Y:$Y,H4)</x:f>
        <x:v>55</x:v>
      </x:c>
      <x:c r="J4" t="str">
        <x:v>Specify visible contact point; avoid hand occlusion.</x:v>
      </x:c>
    </x:row>
    <x:row r="5">
      <x:c r="A5" t="str">
        <x:v>DIY steps</x:v>
      </x:c>
      <x:c r="B5" t="n">
        <x:v>100</x:v>
      </x:c>
      <x:c r="H5" t="str">
        <x:v>object morphs</x:v>
      </x:c>
      <x:c r="I5" t="n">
        <x:f>COUNTIF(Clip_Evaluations!$Y:$Y,H5)</x:f>
        <x:v>39</x:v>
      </x:c>
      <x:c r="J5" t="str">
        <x:v>Use reference images and brand-agnostic shape constraints.</x:v>
      </x:c>
    </x:row>
    <x:row r="6">
      <x:c r="A6" t="str">
        <x:v>Models</x:v>
      </x:c>
      <x:c r="B6" t="n">
        <x:v>6</x:v>
      </x:c>
      <x:c r="H6" t="str">
        <x:v>tool floats near object</x:v>
      </x:c>
      <x:c r="I6" t="n">
        <x:f>COUNTIF(Clip_Evaluations!$Y:$Y,H6)</x:f>
        <x:v>23</x:v>
      </x:c>
      <x:c r="J6" t="str">
        <x:v>Require initial contact before motion begins.</x:v>
      </x:c>
    </x:row>
    <x:row r="7">
      <x:c r="A7" t="str">
        <x:v>Prompt architectures</x:v>
      </x:c>
      <x:c r="B7" t="n">
        <x:v>6</x:v>
      </x:c>
      <x:c r="H7" t="str">
        <x:v>endpoint not visible</x:v>
      </x:c>
      <x:c r="I7" t="n">
        <x:f>COUNTIF(Clip_Evaluations!$Y:$Y,H7)</x:f>
        <x:v>55</x:v>
      </x:c>
      <x:c r="J7" t="str">
        <x:v>Ask for one-second hold on the final state.</x:v>
      </x:c>
    </x:row>
    <x:row r="8">
      <x:c r="A8" t="str">
        <x:v>Score scale</x:v>
      </x:c>
      <x:c r="B8" t="str">
        <x:v>1.00-5.00</x:v>
      </x:c>
      <x:c r="H8" t="str">
        <x:v>unsafe hand placement</x:v>
      </x:c>
      <x:c r="I8" t="n">
        <x:f>COUNTIF(Clip_Evaluations!$Y:$Y,H8)</x:f>
        <x:v>9</x:v>
      </x:c>
      <x:c r="J8" t="str">
        <x:v>Move safety cue before visual style instructions.</x:v>
      </x:c>
    </x:row>
    <x:row r="9">
      <x:c r="A9" t="str">
        <x:v>Pass threshold</x:v>
      </x:c>
      <x:c r="B9" t="str">
        <x:v>&gt;= 3.55 weighted score</x:v>
      </x:c>
      <x:c r="H9" t="str">
        <x:v>wrong grip on tool</x:v>
      </x:c>
      <x:c r="I9" t="n">
        <x:f>COUNTIF(Clip_Evaluations!$Y:$Y,H9)</x:f>
        <x:v>28</x:v>
      </x:c>
      <x:c r="J9" t="str">
        <x:v>Name grip and tool orientation explicitly.</x:v>
      </x:c>
    </x:row>
    <x:row r="11">
      <x:c r="A11" s="6" t="str">
        <x:v>Model</x:v>
      </x:c>
      <x:c r="B11" s="6" t="str">
        <x:v>n</x:v>
      </x:c>
      <x:c r="C11" s="6" t="str">
        <x:v>Avg Weighted</x:v>
      </x:c>
      <x:c r="D11" s="6" t="str">
        <x:v>Pass Rate</x:v>
      </x:c>
      <x:c r="E11" s="6" t="str">
        <x:v>Avg Technical</x:v>
      </x:c>
      <x:c r="F11" s="6" t="str">
        <x:v>Avg Action</x:v>
      </x:c>
    </x:row>
    <x:row r="12">
      <x:c r="A12" t="str">
        <x:v>Veo 3.1</x:v>
      </x:c>
      <x:c r="B12" t="n">
        <x:f>COUNTIF(Clip_Evaluations!$J:$J,A12)</x:f>
        <x:v>100</x:v>
      </x:c>
      <x:c r="C12" s="12" t="n">
        <x:f>ROUND(SUMIF(Clip_Evaluations!$J:$J,A12,Clip_Evaluations!$W:$W)/B12,2)</x:f>
        <x:v>4.22</x:v>
      </x:c>
      <x:c r="D12" s="12" t="n">
        <x:f>COUNTIFS(Clip_Evaluations!$J:$J,A12,Clip_Evaluations!$X:$X,"Pass")/B12</x:f>
        <x:v>1</x:v>
      </x:c>
      <x:c r="E12" s="12" t="n">
        <x:f>ROUND(SUMIFS(Clip_Evaluations!$Q:$Q,Clip_Evaluations!$J:$J,A12)/B12,2)</x:f>
        <x:v>4.22</x:v>
      </x:c>
      <x:c r="F12" s="12" t="n">
        <x:f>ROUND(SUMIFS(Clip_Evaluations!$R:$R,Clip_Evaluations!$J:$J,A12)/B12,2)</x:f>
        <x:v>4.27</x:v>
      </x:c>
    </x:row>
    <x:row r="13">
      <x:c r="A13" t="str">
        <x:v>Sora 2 Pro</x:v>
      </x:c>
      <x:c r="B13" t="n">
        <x:f>COUNTIF(Clip_Evaluations!$J:$J,A13)</x:f>
        <x:v>100</x:v>
      </x:c>
      <x:c r="C13" s="12" t="n">
        <x:f>ROUND(SUMIF(Clip_Evaluations!$J:$J,A13,Clip_Evaluations!$W:$W)/B13,2)</x:f>
        <x:v>4.11</x:v>
      </x:c>
      <x:c r="D13" s="12" t="n">
        <x:f>COUNTIFS(Clip_Evaluations!$J:$J,A13,Clip_Evaluations!$X:$X,"Pass")/B13</x:f>
        <x:v>0.99</x:v>
      </x:c>
      <x:c r="E13" s="12" t="n">
        <x:f>ROUND(SUMIFS(Clip_Evaluations!$Q:$Q,Clip_Evaluations!$J:$J,A13)/B13,2)</x:f>
        <x:v>4.07</x:v>
      </x:c>
      <x:c r="F13" s="12" t="n">
        <x:f>ROUND(SUMIFS(Clip_Evaluations!$R:$R,Clip_Evaluations!$J:$J,A13)/B13,2)</x:f>
        <x:v>4.11</x:v>
      </x:c>
    </x:row>
    <x:row r="14">
      <x:c r="A14" t="str">
        <x:v>Runway Gen-4.5</x:v>
      </x:c>
      <x:c r="B14" t="n">
        <x:f>COUNTIF(Clip_Evaluations!$J:$J,A14)</x:f>
        <x:v>100</x:v>
      </x:c>
      <x:c r="C14" s="12" t="n">
        <x:f>ROUND(SUMIF(Clip_Evaluations!$J:$J,A14,Clip_Evaluations!$W:$W)/B14,2)</x:f>
        <x:v>3.91</x:v>
      </x:c>
      <x:c r="D14" s="12" t="n">
        <x:f>COUNTIFS(Clip_Evaluations!$J:$J,A14,Clip_Evaluations!$X:$X,"Pass")/B14</x:f>
        <x:v>0.93</x:v>
      </x:c>
      <x:c r="E14" s="12" t="n">
        <x:f>ROUND(SUMIFS(Clip_Evaluations!$Q:$Q,Clip_Evaluations!$J:$J,A14)/B14,2)</x:f>
        <x:v>3.93</x:v>
      </x:c>
      <x:c r="F14" s="12" t="n">
        <x:f>ROUND(SUMIFS(Clip_Evaluations!$R:$R,Clip_Evaluations!$J:$J,A14)/B14,2)</x:f>
        <x:v>3.86</x:v>
      </x:c>
    </x:row>
    <x:row r="15">
      <x:c r="A15" t="str">
        <x:v>Kling v3.0 (Replicate)</x:v>
      </x:c>
      <x:c r="B15" t="n">
        <x:f>COUNTIF(Clip_Evaluations!$J:$J,A15)</x:f>
        <x:v>100</x:v>
      </x:c>
      <x:c r="C15" s="12" t="n">
        <x:f>ROUND(SUMIF(Clip_Evaluations!$J:$J,A15,Clip_Evaluations!$W:$W)/B15,2)</x:f>
        <x:v>3.8</x:v>
      </x:c>
      <x:c r="D15" s="12" t="n">
        <x:f>COUNTIFS(Clip_Evaluations!$J:$J,A15,Clip_Evaluations!$X:$X,"Pass")/B15</x:f>
        <x:v>0.88</x:v>
      </x:c>
      <x:c r="E15" s="12" t="n">
        <x:f>ROUND(SUMIFS(Clip_Evaluations!$Q:$Q,Clip_Evaluations!$J:$J,A15)/B15,2)</x:f>
        <x:v>3.79</x:v>
      </x:c>
      <x:c r="F15" s="12" t="n">
        <x:f>ROUND(SUMIFS(Clip_Evaluations!$R:$R,Clip_Evaluations!$J:$J,A15)/B15,2)</x:f>
        <x:v>3.88</x:v>
      </x:c>
    </x:row>
    <x:row r="16">
      <x:c r="A16" t="str">
        <x:v>Pika 2.2</x:v>
      </x:c>
      <x:c r="B16" t="n">
        <x:f>COUNTIF(Clip_Evaluations!$J:$J,A16)</x:f>
        <x:v>100</x:v>
      </x:c>
      <x:c r="C16" s="12" t="n">
        <x:f>ROUND(SUMIF(Clip_Evaluations!$J:$J,A16,Clip_Evaluations!$W:$W)/B16,2)</x:f>
        <x:v>3.48</x:v>
      </x:c>
      <x:c r="D16" s="12" t="n">
        <x:f>COUNTIFS(Clip_Evaluations!$J:$J,A16,Clip_Evaluations!$X:$X,"Pass")/B16</x:f>
        <x:v>0.44</x:v>
      </x:c>
      <x:c r="E16" s="12" t="n">
        <x:f>ROUND(SUMIFS(Clip_Evaluations!$Q:$Q,Clip_Evaluations!$J:$J,A16)/B16,2)</x:f>
        <x:v>3.38</x:v>
      </x:c>
      <x:c r="F16" s="12" t="n">
        <x:f>ROUND(SUMIFS(Clip_Evaluations!$R:$R,Clip_Evaluations!$J:$J,A16)/B16,2)</x:f>
        <x:v>3.5</x:v>
      </x:c>
    </x:row>
    <x:row r="17">
      <x:c r="A17" t="str">
        <x:v>Vidu 2.0</x:v>
      </x:c>
      <x:c r="B17" t="n">
        <x:f>COUNTIF(Clip_Evaluations!$J:$J,A17)</x:f>
        <x:v>100</x:v>
      </x:c>
      <x:c r="C17" s="12" t="n">
        <x:f>ROUND(SUMIF(Clip_Evaluations!$J:$J,A17,Clip_Evaluations!$W:$W)/B17,2)</x:f>
        <x:v>3.29</x:v>
      </x:c>
      <x:c r="D17" s="12" t="n">
        <x:f>COUNTIFS(Clip_Evaluations!$J:$J,A17,Clip_Evaluations!$X:$X,"Pass")/B17</x:f>
        <x:v>0.11</x:v>
      </x:c>
      <x:c r="E17" s="12" t="n">
        <x:f>ROUND(SUMIFS(Clip_Evaluations!$Q:$Q,Clip_Evaluations!$J:$J,A17)/B17,2)</x:f>
        <x:v>3.26</x:v>
      </x:c>
      <x:c r="F17" s="12" t="n">
        <x:f>ROUND(SUMIFS(Clip_Evaluations!$R:$R,Clip_Evaluations!$J:$J,A17)/B17,2)</x:f>
        <x:v>3.28</x:v>
      </x:c>
    </x:row>
    <x:row r="21">
      <x:c r="A21" s="6" t="str">
        <x:v>Prompt Architecture</x:v>
      </x:c>
      <x:c r="B21" s="6" t="str">
        <x:v>n</x:v>
      </x:c>
      <x:c r="C21" s="6" t="str">
        <x:v>Avg Weighted</x:v>
      </x:c>
      <x:c r="D21" s="6" t="str">
        <x:v>Pass Rate</x:v>
      </x:c>
      <x:c r="E21" s="6" t="str">
        <x:v>Design Note</x:v>
      </x:c>
    </x:row>
    <x:row r="22">
      <x:c r="A22" t="str">
        <x:v>Direct Natural Language</x:v>
      </x:c>
      <x:c r="B22" t="n">
        <x:f>COUNTIF(Clip_Evaluations!$K:$K,A22)</x:f>
        <x:v>102</x:v>
      </x:c>
      <x:c r="C22" s="12" t="n">
        <x:f>ROUND(SUMIF(Clip_Evaluations!$K:$K,A22,Clip_Evaluations!$W:$W)/B22,2)</x:f>
        <x:v>3.61</x:v>
      </x:c>
      <x:c r="D22" s="22" t="n">
        <x:f>COUNTIFS(Clip_Evaluations!$K:$K,A22,Clip_Evaluations!$X:$X,"Pass")/B22</x:f>
        <x:v>0.5882352941176471</x:v>
      </x:c>
      <x:c r="E22" t="str">
        <x:v>Baseline wording only; no explicit decomposition.</x:v>
      </x:c>
    </x:row>
    <x:row r="23">
      <x:c r="A23" t="str">
        <x:v>Structured Action-Object-Tool</x:v>
      </x:c>
      <x:c r="B23" t="n">
        <x:f>COUNTIF(Clip_Evaluations!$K:$K,A23)</x:f>
        <x:v>102</x:v>
      </x:c>
      <x:c r="C23" s="12" t="n">
        <x:f>ROUND(SUMIF(Clip_Evaluations!$K:$K,A23,Clip_Evaluations!$W:$W)/B23,2)</x:f>
        <x:v>3.85</x:v>
      </x:c>
      <x:c r="D23" s="22" t="n">
        <x:f>COUNTIFS(Clip_Evaluations!$K:$K,A23,Clip_Evaluations!$X:$X,"Pass")/B23</x:f>
        <x:v>0.7352941176470589</x:v>
      </x:c>
      <x:c r="E23" t="str">
        <x:v>Action, tool, object, grip, contact point, start/end states.</x:v>
      </x:c>
    </x:row>
    <x:row r="24">
      <x:c r="A24" t="str">
        <x:v>Metadata-Enriched</x:v>
      </x:c>
      <x:c r="B24" t="n">
        <x:f>COUNTIF(Clip_Evaluations!$K:$K,A24)</x:f>
        <x:v>102</x:v>
      </x:c>
      <x:c r="C24" s="12" t="n">
        <x:f>ROUND(SUMIF(Clip_Evaluations!$K:$K,A24,Clip_Evaluations!$W:$W)/B24,2)</x:f>
        <x:v>3.86</x:v>
      </x:c>
      <x:c r="D24" s="22" t="n">
        <x:f>COUNTIFS(Clip_Evaluations!$K:$K,A24,Clip_Evaluations!$X:$X,"Pass")/B24</x:f>
        <x:v>0.7941176470588235</x:v>
      </x:c>
      <x:c r="E24" t="str">
        <x:v>Uses clipDescription, clipSummary, toolNames, suppliesNames, processTechniques, safetyEquipment.</x:v>
      </x:c>
    </x:row>
    <x:row r="25">
      <x:c r="A25" t="str">
        <x:v>Reference-Guided</x:v>
      </x:c>
      <x:c r="B25" t="n">
        <x:f>COUNTIF(Clip_Evaluations!$K:$K,A25)</x:f>
        <x:v>102</x:v>
      </x:c>
      <x:c r="C25" s="12" t="n">
        <x:f>ROUND(SUMIF(Clip_Evaluations!$K:$K,A25,Clip_Evaluations!$W:$W)/B25,2)</x:f>
        <x:v>3.85</x:v>
      </x:c>
      <x:c r="D25" s="22" t="n">
        <x:f>COUNTIFS(Clip_Evaluations!$K:$K,A25,Clip_Evaluations!$X:$X,"Pass")/B25</x:f>
        <x:v>0.7745098039215687</x:v>
      </x:c>
      <x:c r="E25" t="str">
        <x:v>Adds reference-tool/image cue and brand-agnostic visual constraints.</x:v>
      </x:c>
    </x:row>
    <x:row r="26">
      <x:c r="A26" t="str">
        <x:v>Sequential Context</x:v>
      </x:c>
      <x:c r="B26" t="n">
        <x:f>COUNTIF(Clip_Evaluations!$K:$K,A26)</x:f>
        <x:v>96</x:v>
      </x:c>
      <x:c r="C26" s="12" t="n">
        <x:f>ROUND(SUMIF(Clip_Evaluations!$K:$K,A26,Clip_Evaluations!$W:$W)/B26,2)</x:f>
        <x:v>3.82</x:v>
      </x:c>
      <x:c r="D26" s="22" t="n">
        <x:f>COUNTIFS(Clip_Evaluations!$K:$K,A26,Clip_Evaluations!$X:$X,"Pass")/B26</x:f>
        <x:v>0.7604166666666666</x:v>
      </x:c>
      <x:c r="E26" t="str">
        <x:v>Provides previous and next step for continuity without asking for them to appear.</x:v>
      </x:c>
    </x:row>
    <x:row r="27">
      <x:c r="A27" t="str">
        <x:v>Constraint-Rich Negative Prompt</x:v>
      </x:c>
      <x:c r="B27" t="n">
        <x:f>COUNTIF(Clip_Evaluations!$K:$K,A27)</x:f>
        <x:v>96</x:v>
      </x:c>
      <x:c r="C27" s="12" t="n">
        <x:f>ROUND(SUMIF(Clip_Evaluations!$K:$K,A27,Clip_Evaluations!$W:$W)/B27,2)</x:f>
        <x:v>3.81</x:v>
      </x:c>
      <x:c r="D27" s="22" t="n">
        <x:f>COUNTIFS(Clip_Evaluations!$K:$K,A27,Clip_Evaluations!$X:$X,"Pass")/B27</x:f>
        <x:v>0.6979166666666666</x:v>
      </x:c>
      <x:c r="E27" t="str">
        <x:v>Adds concise no-floating-tools/no-extra-objects/no-morphing constraints.</x:v>
      </x:c>
    </x:row>
  </x:sheetData>
  <x:mergeCells>
    <x:mergeCell ref="A1:J1"/>
  </x:mergeCells>
  <x:pageMargins left="0.7" right="0.7" top="0.75" bottom="0.75" header="0.3" footer="0.3"/>
  <x:drawing xmlns:r="http://schemas.openxmlformats.org/officeDocument/2006/relationships" r:id="R403967777b3b4d5c"/>
  <x:tableParts count="3">
    <x:tablePart xmlns:r="http://schemas.openxmlformats.org/officeDocument/2006/relationships" r:id="R4cd8bd3e75d64f44"/>
    <x:tablePart xmlns:r="http://schemas.openxmlformats.org/officeDocument/2006/relationships" r:id="R79b77b90ab7e4543"/>
    <x:tablePart xmlns:r="http://schemas.openxmlformats.org/officeDocument/2006/relationships" r:id="R5a4f78f887734c12"/>
  </x:tableParts>
</x:worksheet>
</file>

<file path=xl/worksheets/sheet3.xml><?xml version="1.0" encoding="utf-8"?>
<x:worksheet xmlns:x="http://schemas.openxmlformats.org/spreadsheetml/2006/main">
  <x:sheetFormatPr defaultRowHeight="15"/>
  <x:cols>
    <x:col min="1" max="1" width="24" hidden="0" customWidth="1"/>
    <x:col min="2" max="2" width="10" hidden="0" customWidth="1"/>
    <x:col min="3" max="3" width="36" hidden="0" customWidth="1"/>
    <x:col min="4" max="4" width="36" hidden="0" customWidth="1"/>
    <x:col min="5" max="5" width="36" hidden="0" customWidth="1"/>
  </x:cols>
  <x:sheetData>
    <x:row r="1">
      <x:c r="A1" s="6" t="str">
        <x:v>Criterion</x:v>
      </x:c>
      <x:c r="B1" s="6" t="str">
        <x:v>Weight</x:v>
      </x:c>
      <x:c r="C1" s="6" t="str">
        <x:v>Score 1</x:v>
      </x:c>
      <x:c r="D1" s="6" t="str">
        <x:v>Score 3</x:v>
      </x:c>
      <x:c r="E1" s="6" t="str">
        <x:v>Score 5</x:v>
      </x:c>
    </x:row>
    <x:row r="2">
      <x:c r="A2" t="str">
        <x:v>Technical Accuracy</x:v>
      </x:c>
      <x:c r="B2" t="str">
        <x:v>24%</x:v>
      </x:c>
      <x:c r="C2" t="str">
        <x:v>Tool/object relationship is wrong or physically impossible.</x:v>
      </x:c>
      <x:c r="D2" t="str">
        <x:v>Mostly plausible but key mechanic is ambiguous.</x:v>
      </x:c>
      <x:c r="E2" t="str">
        <x:v>Correct grip, contact point, force direction, and end state.</x:v>
      </x:c>
    </x:row>
    <x:row r="3">
      <x:c r="A3" t="str">
        <x:v>Action Completeness</x:v>
      </x:c>
      <x:c r="B3" t="str">
        <x:v>22%</x:v>
      </x:c>
      <x:c r="C3" t="str">
        <x:v>Action is missing, reversed, or only implied.</x:v>
      </x:c>
      <x:c r="D3" t="str">
        <x:v>Start/end shown but middle is compressed.</x:v>
      </x:c>
      <x:c r="E3" t="str">
        <x:v>Start, contact, motion, and finish are all visible.</x:v>
      </x:c>
    </x:row>
    <x:row r="4">
      <x:c r="A4" t="str">
        <x:v>Object Fidelity</x:v>
      </x:c>
      <x:c r="B4" t="str">
        <x:v>16%</x:v>
      </x:c>
      <x:c r="C4" t="str">
        <x:v>Tool/material is unrecognizable or morphs.</x:v>
      </x:c>
      <x:c r="D4" t="str">
        <x:v>Recognizable but changes scale, orientation, or details.</x:v>
      </x:c>
      <x:c r="E4" t="str">
        <x:v>Brand-agnostic but clearly real tool/material.</x:v>
      </x:c>
    </x:row>
    <x:row r="5">
      <x:c r="A5" t="str">
        <x:v>Instructional Clarity</x:v>
      </x:c>
      <x:c r="B5" t="str">
        <x:v>18%</x:v>
      </x:c>
      <x:c r="C5" t="str">
        <x:v>A novice could not learn the technique.</x:v>
      </x:c>
      <x:c r="D5" t="str">
        <x:v>Someone with background knowledge could infer the step.</x:v>
      </x:c>
      <x:c r="E5" t="str">
        <x:v>A viewer can copy the method from the clip alone.</x:v>
      </x:c>
    </x:row>
    <x:row r="6">
      <x:c r="A6" t="str">
        <x:v>Safety Realism</x:v>
      </x:c>
      <x:c r="B6" t="str">
        <x:v>10%</x:v>
      </x:c>
      <x:c r="C6" t="str">
        <x:v>Unsafe behavior is shown or safety cues are missing.</x:v>
      </x:c>
      <x:c r="D6" t="str">
        <x:v>No obvious hazard, but safety is under-specified.</x:v>
      </x:c>
      <x:c r="E6" t="str">
        <x:v>Safety cue fits the task and does not distract.</x:v>
      </x:c>
    </x:row>
    <x:row r="7">
      <x:c r="A7" t="str">
        <x:v>Visual Consistency</x:v>
      </x:c>
      <x:c r="B7" t="str">
        <x:v>10%</x:v>
      </x:c>
      <x:c r="C7" t="str">
        <x:v>Hands, tools, or workpiece jump between states.</x:v>
      </x:c>
      <x:c r="D7" t="str">
        <x:v>Minor drift but the step is still legible.</x:v>
      </x:c>
      <x:c r="E7" t="str">
        <x:v>Camera, hands, and workpiece remain stable.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4" hidden="0" customWidth="1"/>
    <x:col min="3" max="3" width="34" hidden="0" customWidth="1"/>
    <x:col min="4" max="4" width="34" hidden="0" customWidth="1"/>
    <x:col min="5" max="5" width="34" hidden="0" customWidth="1"/>
  </x:cols>
  <x:sheetData>
    <x:row r="1">
      <x:c r="A1" s="6" t="str">
        <x:v>Architecture</x:v>
      </x:c>
      <x:c r="B1" s="6" t="str">
        <x:v>When to use</x:v>
      </x:c>
      <x:c r="C1" s="6" t="str">
        <x:v>Template core</x:v>
      </x:c>
      <x:c r="D1" s="6" t="str">
        <x:v>What to watch for</x:v>
      </x:c>
      <x:c r="E1" s="6" t="str">
        <x:v>Suggested variables</x:v>
      </x:c>
    </x:row>
    <x:row r="2">
      <x:c r="A2" t="str">
        <x:v>Direct Natural Language</x:v>
      </x:c>
      <x:c r="B2" t="str">
        <x:v>Baseline only; fast smoke test.</x:v>
      </x:c>
      <x:c r="C2" t="str">
        <x:v>A person [step] using [tool] on [object].</x:v>
      </x:c>
      <x:c r="D2" t="str">
        <x:v>Often under-specifies contact and end state.</x:v>
      </x:c>
      <x:c r="E2" t="str">
        <x:v>step_description, toolNames, suppliesNames</x:v>
      </x:c>
    </x:row>
    <x:row r="3">
      <x:c r="A3" t="str">
        <x:v>Structured Action-Object-Tool</x:v>
      </x:c>
      <x:c r="B3" t="str">
        <x:v>Best general default for visible hand/tool actions.</x:v>
      </x:c>
      <x:c r="C3" t="str">
        <x:v>Action=[verb]. Tool=[tool]. Object=[object]. Contact=[point]. Finish=[state].</x:v>
      </x:c>
      <x:c r="D3" t="str">
        <x:v>Can get rigid if overloaded with too many objects.</x:v>
      </x:c>
      <x:c r="E3" t="str">
        <x:v>processTechnique, toolNames, clipDescription, contact_point</x:v>
      </x:c>
    </x:row>
    <x:row r="4">
      <x:c r="A4" t="str">
        <x:v>Metadata-Enriched</x:v>
      </x:c>
      <x:c r="B4" t="str">
        <x:v>Use when Stesso metadata is rich and consistent.</x:v>
      </x:c>
      <x:c r="C4" t="str">
        <x:v>Use clipDescription, clipSummary, toolNames, suppliesNames, safetyEquipment.</x:v>
      </x:c>
      <x:c r="D4" t="str">
        <x:v>Metadata errors will be amplified.</x:v>
      </x:c>
      <x:c r="E4" t="str">
        <x:v>clipDescription, clipSummary, toolNames, suppliesNames, safetyEquipment</x:v>
      </x:c>
    </x:row>
    <x:row r="5">
      <x:c r="A5" t="str">
        <x:v>Reference-Guided</x:v>
      </x:c>
      <x:c r="B5" t="str">
        <x:v>Use for uncommon tools, object fidelity, and scale.</x:v>
      </x:c>
      <x:c r="C5" t="str">
        <x:v>Reference image: generic [tool/object]. Preserve shape, scale, and material.</x:v>
      </x:c>
      <x:c r="D5" t="str">
        <x:v>Reference assets must be rights-cleared and generic.</x:v>
      </x:c>
      <x:c r="E5" t="str">
        <x:v>reference_image_url, tool_shape, object_material</x:v>
      </x:c>
    </x:row>
    <x:row r="6">
      <x:c r="A6" t="str">
        <x:v>Sequential Context</x:v>
      </x:c>
      <x:c r="B6" t="str">
        <x:v>Use for multi-step projects where continuity matters.</x:v>
      </x:c>
      <x:c r="C6" t="str">
        <x:v>Previous step=[prev]. Current step=[step]. Next step=[next]. Keep same workpiece.</x:v>
      </x:c>
      <x:c r="D6" t="str">
        <x:v>Model may include previous/next steps in frame if prompt is loose.</x:v>
      </x:c>
      <x:c r="E6" t="str">
        <x:v>prev_step, next_step, project_context</x:v>
      </x:c>
    </x:row>
    <x:row r="7">
      <x:c r="A7" t="str">
        <x:v>Constraint-Rich Negative Prompt</x:v>
      </x:c>
      <x:c r="B7" t="str">
        <x:v>Use after observing morphing, extra tools, or unsafe gestures.</x:v>
      </x:c>
      <x:c r="C7" t="str">
        <x:v>No floating tools, no extra tools, no morphing hands, no reversed motion.</x:v>
      </x:c>
      <x:c r="D7" t="str">
        <x:v>Too many negatives can crowd out the positive action.</x:v>
      </x:c>
      <x:c r="E7" t="str">
        <x:v>negative_constraints, safetyEquipment, camera_lock</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8" hidden="0" customWidth="1"/>
    <x:col min="3" max="3" width="16" hidden="0" customWidth="1"/>
    <x:col min="4" max="4" width="42" hidden="0" customWidth="1"/>
    <x:col min="5" max="5" width="42" hidden="0" customWidth="1"/>
  </x:cols>
  <x:sheetData>
    <x:row r="1">
      <x:c r="A1" s="6" t="str">
        <x:v>Model</x:v>
      </x:c>
      <x:c r="B1" s="6" t="str">
        <x:v>Script/API Path</x:v>
      </x:c>
      <x:c r="C1" s="6" t="str">
        <x:v>Default Duration</x:v>
      </x:c>
      <x:c r="D1" s="6" t="str">
        <x:v>Typical Research Use</x:v>
      </x:c>
      <x:c r="E1" s="6" t="str">
        <x:v>Important Note</x:v>
      </x:c>
    </x:row>
    <x:row r="2">
      <x:c r="A2" t="str">
        <x:v>Sora 2 / Sora 2 Pro</x:v>
      </x:c>
      <x:c r="B2" t="str">
        <x:v>generate_openai_sora.py</x:v>
      </x:c>
      <x:c r="C2" t="str">
        <x:v>8s</x:v>
      </x:c>
      <x:c r="D2" t="str">
        <x:v>High-fidelity text-to-video and image-guided runs.</x:v>
      </x:c>
      <x:c r="E2" t="str">
        <x:v>API is marked deprecated with shutdown date in OpenAI docs; verify before launch.</x:v>
      </x:c>
    </x:row>
    <x:row r="3">
      <x:c r="A3" t="str">
        <x:v>Veo 3.1</x:v>
      </x:c>
      <x:c r="B3" t="str">
        <x:v>generate_google_veo.py</x:v>
      </x:c>
      <x:c r="C3" t="str">
        <x:v>8s</x:v>
      </x:c>
      <x:c r="D3" t="str">
        <x:v>Programmatic video generation through Gemini API.</x:v>
      </x:c>
      <x:c r="E3" t="str">
        <x:v>Supports 720p/1080p/4k in current docs; availability and region limits apply.</x:v>
      </x:c>
    </x:row>
    <x:row r="4">
      <x:c r="A4" t="str">
        <x:v>Runway Gen-4.5</x:v>
      </x:c>
      <x:c r="B4" t="str">
        <x:v>generate_runway.py</x:v>
      </x:c>
      <x:c r="C4" t="str">
        <x:v>5s</x:v>
      </x:c>
      <x:c r="D4" t="str">
        <x:v>Fast iteration for text-to-video or image-to-video.</x:v>
      </x:c>
      <x:c r="E4" t="str">
        <x:v>Runway SDK uses async tasks; poll or wait for output.</x:v>
      </x:c>
    </x:row>
    <x:row r="5">
      <x:c r="A5" t="str">
        <x:v>Kling / other hosted models</x:v>
      </x:c>
      <x:c r="B5" t="str">
        <x:v>generate_replicate_video.py</x:v>
      </x:c>
      <x:c r="C5" t="str">
        <x:v>5-10s</x:v>
      </x:c>
      <x:c r="D5" t="str">
        <x:v>Replicate-hosted text-to-video or image-to-video models.</x:v>
      </x:c>
      <x:c r="E5" t="str">
        <x:v>Set REPLICATE_MODEL to the exact model slug and adapt input schema.</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48" hidden="0" customWidth="1"/>
    <x:col min="3" max="3" width="60" hidden="0" customWidth="1"/>
  </x:cols>
  <x:sheetData>
    <x:row r="1">
      <x:c r="A1" s="6" t="str">
        <x:v>Source</x:v>
      </x:c>
      <x:c r="B1" s="6" t="str">
        <x:v>Use in this workbook</x:v>
      </x:c>
      <x:c r="C1" s="6" t="str">
        <x:v>URL</x:v>
      </x:c>
    </x:row>
    <x:row r="2">
      <x:c r="A2" t="str">
        <x:v>OpenAI Videos API guide</x:v>
      </x:c>
      <x:c r="B2" t="str">
        <x:v>Sora API script and deprecation note</x:v>
      </x:c>
      <x:c r="C2" t="str">
        <x:v>https://developers.openai.com/api/docs/guides/video-generation</x:v>
      </x:c>
    </x:row>
    <x:row r="3">
      <x:c r="A3" t="str">
        <x:v>Google Gemini API Veo video guide</x:v>
      </x:c>
      <x:c r="B3" t="str">
        <x:v>Veo script and model feature notes</x:v>
      </x:c>
      <x:c r="C3" t="str">
        <x:v>https://ai.google.dev/gemini-api/docs/video</x:v>
      </x:c>
    </x:row>
    <x:row r="4">
      <x:c r="A4" t="str">
        <x:v>Runway API getting started guide</x:v>
      </x:c>
      <x:c r="B4" t="str">
        <x:v>Runway Gen-4.5 script and SDK usage</x:v>
      </x:c>
      <x:c r="C4" t="str">
        <x:v>https://docs.dev.runwayml.com/guides/using-the-api/</x:v>
      </x:c>
    </x:row>
    <x:row r="5">
      <x:c r="A5" t="str">
        <x:v>Runway SDK details</x:v>
      </x:c>
      <x:c r="B5" t="str">
        <x:v>Task polling and SDK method names</x:v>
      </x:c>
      <x:c r="C5" t="str">
        <x:v>https://docs.dev.runwayml.com/api-details/sdks/</x:v>
      </x:c>
    </x:row>
    <x:row r="6">
      <x:c r="A6" t="str">
        <x:v>Replicate text-to-video collection</x:v>
      </x:c>
      <x:c r="B6" t="str">
        <x:v>Generic Replicate script, model slugs</x:v>
      </x:c>
      <x:c r="C6" t="str">
        <x:v>https://replicate.com/collections/text-to-video</x:v>
      </x:c>
    </x:row>
    <x:row r="7">
      <x:c r="A7" t="str">
        <x:v>Stesso project prompt screenshot</x:v>
      </x:c>
      <x:c r="B7" t="str">
        <x:v>Motivation and research question framing</x:v>
      </x:c>
      <x:c r="C7" t="str">
        <x:v>User-provided image in ChatGPT conversation</x:v>
      </x:c>
    </x:row>
    <x:row r="8">
      <x:c r="A8" t="str">
        <x:v>Workbook note</x:v>
      </x:c>
      <x:c r="B8" t="str">
        <x:v>Scores are synthetic placeholders for experimental planning, not actual vendor results.</x:v>
      </x:c>
      <x:c r="C8" t="str">
        <x:v>N/A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90" hidden="0" customWidth="1"/>
  </x:cols>
  <x:sheetData>
    <x:row r="1">
      <x:c r="A1" s="6" t="str">
        <x:v>Field</x:v>
      </x:c>
      <x:c r="B1" s="6" t="str">
        <x:v>Description</x:v>
      </x:c>
    </x:row>
    <x:row r="2">
      <x:c r="A2" t="str">
        <x:v>Purpose</x:v>
      </x:c>
      <x:c r="B2" t="str">
        <x:v>Revised synthetic pilot dataset for Project 4 research question #1: how current video generation models might handle instructional DIY micro-clips.</x:v>
      </x:c>
    </x:row>
    <x:row r="3">
      <x:c r="A3" t="str">
        <x:v>Important honesty note</x:v>
      </x:c>
      <x:c r="B3" t="str">
        <x:v>Rows are simulated, human-style evaluator data for planning and analysis design. They are not generated-video measurements and should not be presented as real benchmark results.</x:v>
      </x:c>
    </x:row>
    <x:row r="4">
      <x:c r="A4" t="str">
        <x:v>Why observations vary</x:v>
      </x:c>
      <x:c r="B4" t="str">
        <x:v>Human_Observation and Reprompt_Recommendation were rewritten to avoid repeated boilerplate and to reflect model, prompt architecture, step type, and failure mode.</x:v>
      </x:c>
    </x:row>
    <x:row r="5">
      <x:c r="A5" t="str">
        <x:v>How to use</x:v>
      </x:c>
      <x:c r="B5" t="str">
        <x:v>Generate clips with the accompanying Python scripts, paste resulting URLs into Generated_Clip_URL, then replace placeholder scores with blinded human ratings.</x:v>
      </x:c>
    </x:row>
    <x:row r="6">
      <x:c r="A6" t="str">
        <x:v>Pass rule</x:v>
      </x:c>
      <x:c r="B6" t="str">
        <x:v>Pass_Fail is formula-driven from Weighted_Score &gt;= 3.55; Weighted_Score uses the rubric weights on the Rubric sheet.</x:v>
      </x:c>
    </x:row>
  </x:sheetData>
  <x:pageMargins left="0.7" right="0.7" top="0.75" bottom="0.75" header="0.3" footer="0.3"/>
</x:worksheet>
</file>